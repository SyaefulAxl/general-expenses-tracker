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<sst xmlns="http://schemas.openxmlformats.org/spreadsheetml/2006/main" count="341" uniqueCount="140">
  <si>
    <t>Date</t>
  </si>
  <si>
    <t>Toko</t>
  </si>
  <si>
    <t>Description</t>
  </si>
  <si>
    <t>Together</t>
  </si>
  <si>
    <t>Dina</t>
  </si>
  <si>
    <t>Winda</t>
  </si>
  <si>
    <t>Syaeful</t>
  </si>
  <si>
    <t>Paid by</t>
  </si>
  <si>
    <t>Grab</t>
  </si>
  <si>
    <t>Grab from Airport to Condo</t>
  </si>
  <si>
    <t>From</t>
  </si>
  <si>
    <t>To</t>
  </si>
  <si>
    <t>Uang Deposit Hotel 1</t>
  </si>
  <si>
    <t>Total</t>
  </si>
  <si>
    <t>Paid</t>
  </si>
  <si>
    <t>Expenses</t>
  </si>
  <si>
    <t>Balance</t>
  </si>
  <si>
    <t>Uang Deposit Hotel 2</t>
  </si>
  <si>
    <t>Seven 11</t>
  </si>
  <si>
    <t>Water</t>
  </si>
  <si>
    <t>Roti</t>
  </si>
  <si>
    <t>Beras</t>
  </si>
  <si>
    <t>Tukang Sayur</t>
  </si>
  <si>
    <t>Bawang dll</t>
  </si>
  <si>
    <t>Bagi 3</t>
  </si>
  <si>
    <t>Lays</t>
  </si>
  <si>
    <t>Onigiri</t>
  </si>
  <si>
    <t>Tops</t>
  </si>
  <si>
    <t>spicy seaweed snack</t>
  </si>
  <si>
    <t xml:space="preserve">Crab Fried rice </t>
  </si>
  <si>
    <t>Makro</t>
  </si>
  <si>
    <t>Chicken Upper Wings (per kg)</t>
  </si>
  <si>
    <t>Nestle Pure Life Drinking Water (6L x 1)</t>
  </si>
  <si>
    <t>SB Net Sponge Pack (1 x 6)</t>
  </si>
  <si>
    <t>Nissin Dry Ramen Smoked Chicken Flavor (122g x 4)</t>
  </si>
  <si>
    <t xml:space="preserve">Nescafe 3-in-1 Rich (16g x 27 sachets) </t>
  </si>
  <si>
    <t>Karisma Winnie the Pooh Bolster (29x44" Blue)</t>
  </si>
  <si>
    <t>CP Chicken Eggs No. 3 (10 pcs)</t>
  </si>
  <si>
    <t>Karisma Winnie the Pooh Die-Cut Bolster (29x44" Red)</t>
  </si>
  <si>
    <t>Singha Drinking Water (1.5L x 6)</t>
  </si>
  <si>
    <t>Chicken Tenderloin (per kg)</t>
  </si>
  <si>
    <t xml:space="preserve">Cabbage (per pack) </t>
  </si>
  <si>
    <t>Thong Fah Crispy Skin Chicken Sausage (500g x 1)</t>
  </si>
  <si>
    <t>Fuji BBQ Shrimp Crackers (75/83g x 3)</t>
  </si>
  <si>
    <t>Superstar Chocolate Wafer (12.5/16g x 12)</t>
  </si>
  <si>
    <t>Hygiene Liquid Laundry Detergent Lovely Pink (30ml x 12)</t>
  </si>
  <si>
    <t>Chinese Cabbage (per pack)</t>
  </si>
  <si>
    <t>Red Bird's Eye Chili, Stemless (300g)</t>
  </si>
  <si>
    <t>Frozen Lime Juice (500g)</t>
  </si>
  <si>
    <t xml:space="preserve">Sunlight Lemon &amp; Lime Dishwashing Liquid (300ml x 3) </t>
  </si>
  <si>
    <t>SAVEPAK Frozen Sliced Squid Tentacles (1kg x 1)</t>
  </si>
  <si>
    <t>Meiji Paigen 0% Fat Cultured Milk (155ml x 4)</t>
  </si>
  <si>
    <t>Imported Chinese Carrots (per kg)</t>
  </si>
  <si>
    <t>Salz Gum Care Toothbrush (Pack of 3)</t>
  </si>
  <si>
    <t>Jack Baby Wipes Pink (40 sheets x 1)</t>
  </si>
  <si>
    <t>Indomie Mi Goreng Original Flavor (85g x 5)</t>
  </si>
  <si>
    <t>Short Stool 30 cm Assorted Colors</t>
  </si>
  <si>
    <t>Lux Bluebell Body Wash Refill (400ml x 2)</t>
  </si>
  <si>
    <t xml:space="preserve">Hygiene Expert Care Fabric Softener, Love Touch (20ml x 24) </t>
  </si>
  <si>
    <t>Lotus</t>
  </si>
  <si>
    <t>Vixol Sunny Fresh (700ml)</t>
  </si>
  <si>
    <t>LT Peeled Baby Corn</t>
  </si>
  <si>
    <t xml:space="preserve">Lotus Limes (4 pieces @ 12.00 each) </t>
  </si>
  <si>
    <t>CS NP Organic Brown Wood Ear Mushrooms</t>
  </si>
  <si>
    <t>Laurier Anti-Bac Pantyliners (18 pcs)</t>
  </si>
  <si>
    <t xml:space="preserve">Sofy Body Fit Night Sanitary Pads 33cm (14 pcs) </t>
  </si>
  <si>
    <t>Large Onions (per kg)</t>
  </si>
  <si>
    <t>Oasis Air Freshener Gel (Floral)</t>
  </si>
  <si>
    <t>Blueband Margarine (150g)</t>
  </si>
  <si>
    <t>FH Hokkaido Milk Scented Bread</t>
  </si>
  <si>
    <t>Milo UHT Less Sugar (110ml)</t>
  </si>
  <si>
    <t>Uang pegangan Pak Epul</t>
  </si>
  <si>
    <t>Caffee</t>
  </si>
  <si>
    <t>Smoothies</t>
  </si>
  <si>
    <t>Thai tea</t>
  </si>
  <si>
    <t>Wai Wai High Fiber Rice Vermicelli</t>
  </si>
  <si>
    <t>Mendake Jade Noodles (180g)</t>
  </si>
  <si>
    <t>Taokaenoi Classic Seaweed (26g)</t>
  </si>
  <si>
    <t>Equal Stevia (2g x 40 sachets)</t>
  </si>
  <si>
    <t>Bihun</t>
  </si>
  <si>
    <t xml:space="preserve">FH Wholewheat Bread (220g) </t>
  </si>
  <si>
    <t xml:space="preserve">Roza Tomato Ketchup (300g) </t>
  </si>
  <si>
    <t>Himalaya Mint Lemon Candy (15g)</t>
  </si>
  <si>
    <t>Equal Instant Cocoa (15 x 6)</t>
  </si>
  <si>
    <t>St. Dalfour Mixed Fruit Jam (28g)</t>
  </si>
  <si>
    <t>Five Star Chicken Roll with Fresh Chili (500g)</t>
  </si>
  <si>
    <t>Lotus Bean Sprouts (per pack)</t>
  </si>
  <si>
    <t xml:space="preserve">Trimmed Garlic (per pack) </t>
  </si>
  <si>
    <t>Indian Red Onion (per kg)</t>
  </si>
  <si>
    <t>Large Onion (per kg)</t>
  </si>
  <si>
    <t>Mixed Mushroom Set (3 types, per pack)</t>
  </si>
  <si>
    <t>Shallots (per pack)</t>
  </si>
  <si>
    <t>Longan Honey 100% (106g)</t>
  </si>
  <si>
    <t>Pure Grain Wild Honey (130g)</t>
  </si>
  <si>
    <t>Khao Thong Basil Seeds (100g)</t>
  </si>
  <si>
    <t xml:space="preserve">Himalaya Mint Lemon Candy (15g) </t>
  </si>
  <si>
    <t>Black Garbage Bags (18x20)</t>
  </si>
  <si>
    <t>Phanom Rung Jasmine Rice 100% B</t>
  </si>
  <si>
    <t>Cup Jok (Instant Rice Porridge) Chicken &amp; Shiitake Mushroom (50g x 3)</t>
  </si>
  <si>
    <t>Xongdur Cocoa Flavor (125g)</t>
  </si>
  <si>
    <t>Cup Jok (Instant Rice Porridge) Brown Rice (70g x 3)</t>
  </si>
  <si>
    <t>Cup Jok (Instant Rice Porridge) Jasmine Rice (70g x 3)</t>
  </si>
  <si>
    <t>Spring Onion (per kg)</t>
  </si>
  <si>
    <t>FH Wholewheat Bread 250g (B)</t>
  </si>
  <si>
    <t>Indomie goreng</t>
  </si>
  <si>
    <t xml:space="preserve">LT Medium Chicken Eggs (M) </t>
  </si>
  <si>
    <t>Waffle</t>
  </si>
  <si>
    <t>14/05/2026</t>
  </si>
  <si>
    <t>15/05/2026</t>
  </si>
  <si>
    <t>KFC</t>
  </si>
  <si>
    <t>Eggtart and chicken</t>
  </si>
  <si>
    <t>Yoguruto</t>
  </si>
  <si>
    <t>Laundry</t>
  </si>
  <si>
    <t>Wortel</t>
  </si>
  <si>
    <t>16/05/2026</t>
  </si>
  <si>
    <t>Pepsi</t>
  </si>
  <si>
    <t>Fanta</t>
  </si>
  <si>
    <t>boba tea</t>
  </si>
  <si>
    <t>bubble latte</t>
  </si>
  <si>
    <t>MRT</t>
  </si>
  <si>
    <t>Berlima</t>
  </si>
  <si>
    <t>MRT Yellow line</t>
  </si>
  <si>
    <t>Berempat</t>
  </si>
  <si>
    <t>Songtew</t>
  </si>
  <si>
    <t>RamKhamHaeng night Market</t>
  </si>
  <si>
    <t>Gorengan manis 3 jenis</t>
  </si>
  <si>
    <t>Gorengan tepung sosis2an</t>
  </si>
  <si>
    <t>Coconut juice</t>
  </si>
  <si>
    <t>nasi ayam</t>
  </si>
  <si>
    <t>Squid bakar satu</t>
  </si>
  <si>
    <t>kol roll</t>
  </si>
  <si>
    <t>water</t>
  </si>
  <si>
    <t>jus jeruk</t>
  </si>
  <si>
    <t>Squid bakar kedua</t>
  </si>
  <si>
    <t>Taxi plus tol</t>
  </si>
  <si>
    <t>Big C</t>
  </si>
  <si>
    <t>Settled 14/12</t>
  </si>
  <si>
    <t>Jenius</t>
  </si>
  <si>
    <t>Dina should pay</t>
  </si>
  <si>
    <t>28/12/2025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</si>
</sst>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d mmmm yyyy"/>
    <numFmt numFmtId="166" formatCode="d mmmm"/>
    <numFmt numFmtId="167" formatCode="[$Rp-421]#,##0.00"/>
    <numFmt numFmtId="168" formatCode="d mmm"/>
  </numFmts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A64D79"/>
      <name val="Calibri"/>
    </font>
    <font>
      <b/>
      <sz val="11.0"/>
      <color rgb="FFA64D79"/>
      <name val="Calibri"/>
    </font>
    <font>
      <sz val="11.0"/>
      <color rgb="FFFF0000"/>
      <name val="Calibri"/>
    </font>
    <font>
      <b/>
      <sz val="11.0"/>
      <color rgb="FFFF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980000"/>
        <bgColor rgb="FF980000"/>
      </patternFill>
    </fill>
  </fills>
  <borders count="2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5" fillId="0" fontId="2" numFmtId="0" xfId="0" applyBorder="1" applyFont="1"/>
    <xf borderId="5" fillId="0" fontId="2" numFmtId="0" xfId="0" applyAlignment="1" applyBorder="1" applyFont="1">
      <alignment readingOrder="0"/>
    </xf>
    <xf borderId="5" fillId="0" fontId="2" numFmtId="2" xfId="0" applyBorder="1" applyFont="1" applyNumberFormat="1"/>
    <xf borderId="5" fillId="0" fontId="2" numFmtId="2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6" fillId="0" fontId="2" numFmtId="0" xfId="0" applyBorder="1" applyFont="1"/>
    <xf borderId="6" fillId="0" fontId="2" numFmtId="14" xfId="0" applyBorder="1" applyFont="1" applyNumberFormat="1"/>
    <xf borderId="6" fillId="0" fontId="2" numFmtId="0" xfId="0" applyAlignment="1" applyBorder="1" applyFont="1">
      <alignment readingOrder="0"/>
    </xf>
    <xf borderId="6" fillId="0" fontId="2" numFmtId="2" xfId="0" applyBorder="1" applyFont="1" applyNumberFormat="1"/>
    <xf borderId="6" fillId="0" fontId="2" numFmtId="2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7" fillId="0" fontId="6" numFmtId="165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/>
    </xf>
    <xf borderId="8" fillId="0" fontId="7" numFmtId="0" xfId="0" applyBorder="1" applyFont="1"/>
    <xf borderId="9" fillId="0" fontId="8" numFmtId="0" xfId="0" applyBorder="1" applyFont="1"/>
    <xf borderId="2" fillId="0" fontId="8" numFmtId="0" xfId="0" applyBorder="1" applyFont="1"/>
    <xf borderId="4" fillId="0" fontId="8" numFmtId="0" xfId="0" applyBorder="1" applyFont="1"/>
    <xf borderId="10" fillId="0" fontId="8" numFmtId="0" xfId="0" applyBorder="1" applyFont="1"/>
    <xf borderId="11" fillId="0" fontId="7" numFmtId="2" xfId="0" applyBorder="1" applyFont="1" applyNumberFormat="1"/>
    <xf borderId="5" fillId="0" fontId="7" numFmtId="2" xfId="0" applyBorder="1" applyFont="1" applyNumberFormat="1"/>
    <xf borderId="12" fillId="0" fontId="8" numFmtId="0" xfId="0" applyBorder="1" applyFont="1"/>
    <xf borderId="13" fillId="0" fontId="7" numFmtId="2" xfId="0" applyBorder="1" applyFont="1" applyNumberFormat="1"/>
    <xf borderId="6" fillId="0" fontId="7" numFmtId="2" xfId="0" applyBorder="1" applyFont="1" applyNumberFormat="1"/>
    <xf borderId="12" fillId="0" fontId="8" numFmtId="0" xfId="0" applyAlignment="1" applyBorder="1" applyFont="1">
      <alignment readingOrder="0"/>
    </xf>
    <xf borderId="7" fillId="0" fontId="9" numFmtId="166" xfId="0" applyAlignment="1" applyBorder="1" applyFont="1" applyNumberFormat="1">
      <alignment readingOrder="0"/>
    </xf>
    <xf borderId="9" fillId="0" fontId="10" numFmtId="0" xfId="0" applyBorder="1" applyFont="1"/>
    <xf borderId="2" fillId="0" fontId="10" numFmtId="0" xfId="0" applyBorder="1" applyFont="1"/>
    <xf borderId="4" fillId="0" fontId="10" numFmtId="0" xfId="0" applyBorder="1" applyFont="1"/>
    <xf borderId="10" fillId="0" fontId="10" numFmtId="0" xfId="0" applyBorder="1" applyFont="1"/>
    <xf borderId="11" fillId="0" fontId="9" numFmtId="2" xfId="0" applyAlignment="1" applyBorder="1" applyFont="1" applyNumberFormat="1">
      <alignment readingOrder="0"/>
    </xf>
    <xf borderId="5" fillId="0" fontId="9" numFmtId="2" xfId="0" applyBorder="1" applyFont="1" applyNumberFormat="1"/>
    <xf borderId="14" fillId="0" fontId="9" numFmtId="2" xfId="0" applyBorder="1" applyFont="1" applyNumberFormat="1"/>
    <xf borderId="1" fillId="2" fontId="6" numFmtId="0" xfId="0" applyBorder="1" applyFill="1" applyFont="1"/>
    <xf borderId="2" fillId="2" fontId="6" numFmtId="0" xfId="0" applyBorder="1" applyFont="1"/>
    <xf borderId="3" fillId="2" fontId="1" numFmtId="0" xfId="0" applyBorder="1" applyFont="1"/>
    <xf borderId="7" fillId="2" fontId="1" numFmtId="2" xfId="0" applyBorder="1" applyFont="1" applyNumberFormat="1"/>
    <xf borderId="15" fillId="2" fontId="1" numFmtId="2" xfId="0" applyAlignment="1" applyBorder="1" applyFont="1" applyNumberFormat="1">
      <alignment horizontal="center" vertical="center"/>
    </xf>
    <xf borderId="16" fillId="2" fontId="1" numFmtId="2" xfId="0" applyAlignment="1" applyBorder="1" applyFont="1" applyNumberFormat="1">
      <alignment horizontal="center" vertical="center"/>
    </xf>
    <xf borderId="17" fillId="0" fontId="10" numFmtId="2" xfId="0" applyAlignment="1" applyBorder="1" applyFont="1" applyNumberFormat="1">
      <alignment horizontal="center" readingOrder="0" vertical="center"/>
    </xf>
    <xf borderId="18" fillId="0" fontId="10" numFmtId="0" xfId="0" applyBorder="1" applyFont="1"/>
    <xf borderId="13" fillId="0" fontId="9" numFmtId="2" xfId="0" applyBorder="1" applyFont="1" applyNumberFormat="1"/>
    <xf borderId="6" fillId="0" fontId="9" numFmtId="2" xfId="0" applyBorder="1" applyFont="1" applyNumberFormat="1"/>
    <xf borderId="3" fillId="2" fontId="1" numFmtId="0" xfId="0" applyAlignment="1" applyBorder="1" applyFont="1">
      <alignment readingOrder="0"/>
    </xf>
    <xf borderId="19" fillId="0" fontId="11" numFmtId="0" xfId="0" applyBorder="1" applyFont="1"/>
    <xf borderId="20" fillId="0" fontId="11" numFmtId="0" xfId="0" applyBorder="1" applyFont="1"/>
    <xf borderId="5" fillId="0" fontId="11" numFmtId="0" xfId="0" applyBorder="1" applyFont="1"/>
    <xf borderId="12" fillId="0" fontId="10" numFmtId="0" xfId="0" applyAlignment="1" applyBorder="1" applyFont="1">
      <alignment readingOrder="0"/>
    </xf>
    <xf borderId="21" fillId="0" fontId="9" numFmtId="2" xfId="0" applyAlignment="1" applyBorder="1" applyFont="1" applyNumberFormat="1">
      <alignment readingOrder="0"/>
    </xf>
    <xf borderId="22" fillId="0" fontId="9" numFmtId="2" xfId="0" applyBorder="1" applyFont="1" applyNumberFormat="1"/>
    <xf borderId="23" fillId="0" fontId="9" numFmtId="2" xfId="0" applyBorder="1" applyFont="1" applyNumberFormat="1"/>
    <xf borderId="6" fillId="0" fontId="6" numFmtId="164" xfId="0" applyAlignment="1" applyBorder="1" applyFont="1" applyNumberFormat="1">
      <alignment readingOrder="0"/>
    </xf>
    <xf borderId="6" fillId="0" fontId="6" numFmtId="0" xfId="0" applyAlignment="1" applyBorder="1" applyFont="1">
      <alignment readingOrder="0"/>
    </xf>
    <xf borderId="5" fillId="0" fontId="2" numFmtId="0" xfId="0" applyAlignment="1" applyBorder="1" applyFont="1">
      <alignment horizontal="center" vertical="center"/>
    </xf>
    <xf borderId="5" fillId="0" fontId="2" numFmtId="2" xfId="0" applyAlignment="1" applyBorder="1" applyFont="1" applyNumberFormat="1">
      <alignment horizontal="center" readingOrder="0" vertical="center"/>
    </xf>
    <xf borderId="6" fillId="0" fontId="2" numFmtId="2" xfId="0" applyAlignment="1" applyBorder="1" applyFont="1" applyNumberFormat="1">
      <alignment horizontal="center" readingOrder="0" vertical="center"/>
    </xf>
    <xf borderId="6" fillId="0" fontId="6" numFmtId="0" xfId="0" applyBorder="1" applyFont="1"/>
    <xf borderId="5" fillId="0" fontId="9" numFmtId="2" xfId="0" applyAlignment="1" applyBorder="1" applyFont="1" applyNumberFormat="1">
      <alignment horizontal="center" vertical="center"/>
    </xf>
    <xf borderId="0" fillId="0" fontId="9" numFmtId="166" xfId="0" applyAlignment="1" applyFont="1" applyNumberFormat="1">
      <alignment readingOrder="0"/>
    </xf>
    <xf borderId="0" fillId="0" fontId="10" numFmtId="0" xfId="0" applyFont="1"/>
    <xf borderId="5" fillId="0" fontId="2" numFmtId="2" xfId="0" applyAlignment="1" applyBorder="1" applyFont="1" applyNumberFormat="1">
      <alignment horizontal="center" vertical="center"/>
    </xf>
    <xf borderId="6" fillId="0" fontId="9" numFmtId="2" xfId="0" applyAlignment="1" applyBorder="1" applyFont="1" applyNumberFormat="1">
      <alignment horizontal="center" vertical="center"/>
    </xf>
    <xf borderId="17" fillId="0" fontId="6" numFmtId="0" xfId="0" applyBorder="1" applyFont="1"/>
    <xf borderId="17" fillId="0" fontId="6" numFmtId="0" xfId="0" applyAlignment="1" applyBorder="1" applyFont="1">
      <alignment readingOrder="0"/>
    </xf>
    <xf borderId="17" fillId="0" fontId="6" numFmtId="2" xfId="0" applyBorder="1" applyFont="1" applyNumberFormat="1"/>
    <xf borderId="17" fillId="0" fontId="6" numFmtId="0" xfId="0" applyAlignment="1" applyBorder="1" applyFont="1">
      <alignment horizontal="center" vertical="center"/>
    </xf>
    <xf borderId="17" fillId="0" fontId="6" numFmtId="2" xfId="0" applyAlignment="1" applyBorder="1" applyFont="1" applyNumberFormat="1">
      <alignment horizontal="center" vertical="center"/>
    </xf>
    <xf borderId="17" fillId="0" fontId="6" numFmtId="2" xfId="0" applyAlignment="1" applyBorder="1" applyFont="1" applyNumberFormat="1">
      <alignment horizontal="center" readingOrder="0" vertical="center"/>
    </xf>
    <xf borderId="11" fillId="0" fontId="9" numFmtId="2" xfId="0" applyBorder="1" applyFont="1" applyNumberFormat="1"/>
    <xf borderId="24" fillId="2" fontId="6" numFmtId="0" xfId="0" applyBorder="1" applyFont="1"/>
    <xf borderId="25" fillId="2" fontId="6" numFmtId="0" xfId="0" applyBorder="1" applyFont="1"/>
    <xf borderId="26" fillId="2" fontId="1" numFmtId="0" xfId="0" applyAlignment="1" applyBorder="1" applyFont="1">
      <alignment readingOrder="0"/>
    </xf>
    <xf borderId="15" fillId="2" fontId="1" numFmtId="2" xfId="0" applyBorder="1" applyFont="1" applyNumberFormat="1"/>
    <xf borderId="27" fillId="0" fontId="9" numFmtId="2" xfId="0" applyBorder="1" applyFont="1" applyNumberFormat="1"/>
    <xf borderId="6" fillId="0" fontId="6" numFmtId="2" xfId="0" applyAlignment="1" applyBorder="1" applyFont="1" applyNumberFormat="1">
      <alignment readingOrder="0"/>
    </xf>
    <xf borderId="5" fillId="0" fontId="6" numFmtId="0" xfId="0" applyAlignment="1" applyBorder="1" applyFont="1">
      <alignment horizontal="center" vertical="center"/>
    </xf>
    <xf borderId="5" fillId="0" fontId="6" numFmtId="2" xfId="0" applyAlignment="1" applyBorder="1" applyFont="1" applyNumberFormat="1">
      <alignment horizontal="center" vertical="center"/>
    </xf>
    <xf borderId="5" fillId="0" fontId="6" numFmtId="2" xfId="0" applyAlignment="1" applyBorder="1" applyFont="1" applyNumberFormat="1">
      <alignment horizontal="center" readingOrder="0" vertical="center"/>
    </xf>
    <xf borderId="6" fillId="0" fontId="6" numFmtId="2" xfId="0" applyAlignment="1" applyBorder="1" applyFont="1" applyNumberFormat="1">
      <alignment horizontal="center" readingOrder="0" vertical="center"/>
    </xf>
    <xf borderId="6" fillId="0" fontId="6" numFmtId="2" xfId="0" applyBorder="1" applyFont="1" applyNumberFormat="1"/>
    <xf borderId="17" fillId="0" fontId="6" numFmtId="0" xfId="0" applyAlignment="1" applyBorder="1" applyFont="1">
      <alignment horizontal="center" readingOrder="0" vertical="center"/>
    </xf>
    <xf borderId="6" fillId="0" fontId="6" numFmtId="2" xfId="0" applyAlignment="1" applyBorder="1" applyFont="1" applyNumberFormat="1">
      <alignment horizontal="center" vertical="center"/>
    </xf>
    <xf borderId="28" fillId="0" fontId="10" numFmtId="2" xfId="0" applyAlignment="1" applyBorder="1" applyFont="1" applyNumberFormat="1">
      <alignment horizontal="center" readingOrder="0" vertical="center"/>
    </xf>
    <xf borderId="11" fillId="0" fontId="11" numFmtId="0" xfId="0" applyBorder="1" applyFont="1"/>
    <xf borderId="6" fillId="0" fontId="2" numFmtId="2" xfId="0" applyAlignment="1" applyBorder="1" applyFont="1" applyNumberFormat="1">
      <alignment horizontal="center" vertical="center"/>
    </xf>
    <xf borderId="17" fillId="0" fontId="6" numFmtId="2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2" xfId="0" applyAlignment="1" applyFont="1" applyNumberFormat="1">
      <alignment readingOrder="0"/>
    </xf>
    <xf borderId="0" fillId="0" fontId="6" numFmtId="2" xfId="0" applyAlignment="1" applyFont="1" applyNumberFormat="1">
      <alignment horizontal="center" readingOrder="0" vertical="center"/>
    </xf>
    <xf borderId="0" fillId="0" fontId="6" numFmtId="2" xfId="0" applyAlignment="1" applyFont="1" applyNumberFormat="1">
      <alignment horizontal="center" vertical="center"/>
    </xf>
    <xf borderId="0" fillId="0" fontId="6" numFmtId="0" xfId="0" applyFont="1"/>
    <xf borderId="0" fillId="0" fontId="1" numFmtId="0" xfId="0" applyFont="1"/>
    <xf borderId="0" fillId="0" fontId="6" numFmtId="2" xfId="0" applyFont="1" applyNumberFormat="1"/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 vertical="center"/>
    </xf>
    <xf borderId="0" fillId="0" fontId="1" numFmtId="2" xfId="0" applyAlignment="1" applyFont="1" applyNumberFormat="1">
      <alignment horizontal="center" readingOrder="0" vertical="center"/>
    </xf>
    <xf borderId="28" fillId="0" fontId="9" numFmtId="0" xfId="0" applyAlignment="1" applyBorder="1" applyFont="1">
      <alignment readingOrder="0"/>
    </xf>
    <xf borderId="17" fillId="0" fontId="9" numFmtId="2" xfId="0" applyAlignment="1" applyBorder="1" applyFont="1" applyNumberFormat="1">
      <alignment readingOrder="0"/>
    </xf>
    <xf borderId="17" fillId="0" fontId="9" numFmtId="2" xfId="0" applyAlignment="1" applyBorder="1" applyFont="1" applyNumberFormat="1">
      <alignment horizontal="center" readingOrder="0" vertical="center"/>
    </xf>
    <xf borderId="0" fillId="0" fontId="4" numFmtId="167" xfId="0" applyFont="1" applyNumberFormat="1"/>
    <xf borderId="0" fillId="0" fontId="3" numFmtId="168" xfId="0" applyAlignment="1" applyFont="1" applyNumberFormat="1">
      <alignment readingOrder="0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0" fontId="3" numFmtId="167" xfId="0" applyFont="1" applyNumberFormat="1"/>
    <xf borderId="0" fillId="3" fontId="3" numFmtId="167" xfId="0" applyFont="1" applyNumberForma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2" xfId="0" applyAlignment="1" applyFont="1" applyNumberFormat="1">
      <alignment horizontal="right" readingOrder="0" vertical="bottom"/>
    </xf>
    <xf borderId="0" fillId="0" fontId="6" numFmtId="2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horizontal="center" vertical="bottom"/>
    </xf>
    <xf borderId="0" fillId="4" fontId="3" numFmtId="0" xfId="0" applyAlignment="1" applyFill="1" applyFont="1">
      <alignment readingOrder="0"/>
    </xf>
    <xf borderId="0" fillId="4" fontId="3" numFmtId="167" xfId="0" applyAlignment="1" applyFont="1" applyNumberFormat="1">
      <alignment readingOrder="0"/>
    </xf>
    <xf borderId="0" fillId="4" fontId="3" numFmtId="167" xfId="0" applyFont="1" applyNumberFormat="1"/>
    <xf borderId="0" fillId="0" fontId="6" numFmtId="0" xfId="0" applyAlignment="1" applyFont="1">
      <alignment horizontal="right" vertical="bottom"/>
    </xf>
    <xf borderId="0" fillId="0" fontId="6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6.13"/>
    <col customWidth="1" min="3" max="3" width="36.13"/>
    <col customWidth="1" min="4" max="4" width="9.88"/>
    <col customWidth="1" min="5" max="5" width="8.25"/>
    <col customWidth="1" min="6" max="7" width="7.63"/>
    <col customWidth="1" min="8" max="8" width="10.5"/>
    <col customWidth="1" min="9" max="10" width="7.63"/>
    <col customWidth="1" min="11" max="11" width="8.38"/>
    <col customWidth="1" min="12" max="12" width="11.25"/>
    <col customWidth="1" min="13" max="13" width="12.13"/>
    <col customWidth="1" min="14" max="14" width="11.75"/>
    <col customWidth="1" min="15" max="15" width="11.88"/>
    <col customWidth="1" min="16" max="16" width="12.25"/>
    <col customWidth="1" min="17" max="17" width="12.75"/>
    <col customWidth="1" min="18" max="18" width="10.88"/>
    <col customWidth="1" min="19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>
      <c r="A2" s="6">
        <v>46208.0</v>
      </c>
      <c r="B2" s="7" t="s">
        <v>8</v>
      </c>
      <c r="C2" s="8" t="s">
        <v>9</v>
      </c>
      <c r="D2" s="9"/>
      <c r="E2" s="9"/>
      <c r="F2" s="10">
        <v>350.0</v>
      </c>
      <c r="G2" s="10">
        <v>350.0</v>
      </c>
      <c r="H2" s="8" t="s">
        <v>5</v>
      </c>
      <c r="M2" s="11" t="s">
        <v>10</v>
      </c>
      <c r="N2" s="11" t="s">
        <v>11</v>
      </c>
    </row>
    <row r="3">
      <c r="A3" s="12"/>
      <c r="B3" s="13"/>
      <c r="C3" s="14" t="s">
        <v>12</v>
      </c>
      <c r="D3" s="15"/>
      <c r="E3" s="15"/>
      <c r="F3" s="15"/>
      <c r="G3" s="16">
        <v>300.0</v>
      </c>
      <c r="H3" s="14" t="s">
        <v>5</v>
      </c>
      <c r="K3" s="17"/>
      <c r="L3" s="18" t="s">
        <v>13</v>
      </c>
      <c r="M3" s="19">
        <v>46149.0</v>
      </c>
      <c r="N3" s="20">
        <v>46159.0</v>
      </c>
      <c r="O3" s="21"/>
      <c r="P3" s="22" t="s">
        <v>14</v>
      </c>
      <c r="Q3" s="23" t="s">
        <v>15</v>
      </c>
      <c r="R3" s="24" t="s">
        <v>16</v>
      </c>
    </row>
    <row r="4">
      <c r="A4" s="12"/>
      <c r="B4" s="12"/>
      <c r="C4" s="14" t="s">
        <v>17</v>
      </c>
      <c r="D4" s="15"/>
      <c r="E4" s="15"/>
      <c r="F4" s="15"/>
      <c r="G4" s="16">
        <v>200.0</v>
      </c>
      <c r="H4" s="14" t="s">
        <v>5</v>
      </c>
      <c r="O4" s="25" t="s">
        <v>4</v>
      </c>
      <c r="P4" s="26">
        <f t="shared" ref="P4:Q4" si="1">sum(K8,K15,K46,K59,K64,K103,K108,K114,K132)</f>
        <v>0</v>
      </c>
      <c r="Q4" s="27">
        <f t="shared" si="1"/>
        <v>2152.5</v>
      </c>
      <c r="R4" s="27">
        <f t="shared" ref="R4:R6" si="3">P4-Q4</f>
        <v>-2152.5</v>
      </c>
    </row>
    <row r="5">
      <c r="A5" s="12"/>
      <c r="B5" s="14" t="s">
        <v>18</v>
      </c>
      <c r="C5" s="14" t="s">
        <v>19</v>
      </c>
      <c r="D5" s="15"/>
      <c r="E5" s="15"/>
      <c r="F5" s="15"/>
      <c r="G5" s="16">
        <v>22.0</v>
      </c>
      <c r="H5" s="14" t="s">
        <v>5</v>
      </c>
      <c r="O5" s="28" t="s">
        <v>5</v>
      </c>
      <c r="P5" s="29">
        <f t="shared" ref="P5:Q5" si="2">sum(K9,K16,K47,K60,K65,K104,K109,K115,K133)</f>
        <v>8411.5</v>
      </c>
      <c r="Q5" s="30">
        <f t="shared" si="2"/>
        <v>2459.5</v>
      </c>
      <c r="R5" s="27">
        <f t="shared" si="3"/>
        <v>5952</v>
      </c>
    </row>
    <row r="6">
      <c r="A6" s="12"/>
      <c r="B6" s="12"/>
      <c r="C6" s="14" t="s">
        <v>20</v>
      </c>
      <c r="D6" s="16"/>
      <c r="E6" s="15"/>
      <c r="F6" s="16">
        <v>17.0</v>
      </c>
      <c r="G6" s="16"/>
      <c r="H6" s="14" t="s">
        <v>5</v>
      </c>
      <c r="O6" s="31" t="s">
        <v>6</v>
      </c>
      <c r="P6" s="29">
        <f t="shared" ref="P6:Q6" si="4">sum(K10,K17,K48,K61,K66,K105,K110,K116,K134)</f>
        <v>0</v>
      </c>
      <c r="Q6" s="30">
        <f t="shared" si="4"/>
        <v>3799.5</v>
      </c>
      <c r="R6" s="27">
        <f t="shared" si="3"/>
        <v>-3799.5</v>
      </c>
    </row>
    <row r="7">
      <c r="A7" s="12"/>
      <c r="B7" s="12"/>
      <c r="C7" s="14" t="s">
        <v>21</v>
      </c>
      <c r="D7" s="16">
        <v>65.0</v>
      </c>
      <c r="E7" s="15"/>
      <c r="F7" s="15"/>
      <c r="G7" s="16"/>
      <c r="H7" s="14" t="s">
        <v>5</v>
      </c>
      <c r="J7" s="32">
        <v>46149.0</v>
      </c>
      <c r="K7" s="33" t="s">
        <v>14</v>
      </c>
      <c r="L7" s="34" t="s">
        <v>15</v>
      </c>
      <c r="M7" s="35" t="s">
        <v>16</v>
      </c>
    </row>
    <row r="8">
      <c r="A8" s="12"/>
      <c r="B8" s="14" t="s">
        <v>22</v>
      </c>
      <c r="C8" s="14" t="s">
        <v>23</v>
      </c>
      <c r="D8" s="16">
        <v>60.0</v>
      </c>
      <c r="E8" s="15"/>
      <c r="F8" s="15"/>
      <c r="G8" s="16"/>
      <c r="H8" s="14" t="s">
        <v>5</v>
      </c>
      <c r="J8" s="36" t="s">
        <v>4</v>
      </c>
      <c r="K8" s="37">
        <v>0.0</v>
      </c>
      <c r="L8" s="38">
        <f>D10+E9</f>
        <v>41.66666667</v>
      </c>
      <c r="M8" s="39">
        <f t="shared" ref="M8:M10" si="6">K8-L8</f>
        <v>-41.66666667</v>
      </c>
    </row>
    <row r="9">
      <c r="A9" s="40"/>
      <c r="B9" s="41"/>
      <c r="C9" s="42" t="s">
        <v>13</v>
      </c>
      <c r="D9" s="43">
        <f t="shared" ref="D9:G9" si="5">SUM(D2:D8)</f>
        <v>125</v>
      </c>
      <c r="E9" s="44">
        <f t="shared" si="5"/>
        <v>0</v>
      </c>
      <c r="F9" s="45">
        <f t="shared" si="5"/>
        <v>367</v>
      </c>
      <c r="G9" s="45">
        <f t="shared" si="5"/>
        <v>872</v>
      </c>
      <c r="H9" s="46"/>
      <c r="J9" s="47" t="s">
        <v>5</v>
      </c>
      <c r="K9" s="48">
        <f>sum(D2:G8)</f>
        <v>1364</v>
      </c>
      <c r="L9" s="49">
        <f>D10+F9</f>
        <v>408.6666667</v>
      </c>
      <c r="M9" s="39">
        <f t="shared" si="6"/>
        <v>955.3333333</v>
      </c>
    </row>
    <row r="10">
      <c r="A10" s="40"/>
      <c r="B10" s="41"/>
      <c r="C10" s="50" t="s">
        <v>24</v>
      </c>
      <c r="D10" s="43">
        <f>D9/3</f>
        <v>41.66666667</v>
      </c>
      <c r="E10" s="51"/>
      <c r="F10" s="52"/>
      <c r="G10" s="52"/>
      <c r="H10" s="53"/>
      <c r="J10" s="54" t="s">
        <v>6</v>
      </c>
      <c r="K10" s="55">
        <v>0.0</v>
      </c>
      <c r="L10" s="56">
        <f>D10+G9</f>
        <v>913.6666667</v>
      </c>
      <c r="M10" s="57">
        <f t="shared" si="6"/>
        <v>-913.6666667</v>
      </c>
    </row>
    <row r="11">
      <c r="A11" s="58">
        <v>46239.0</v>
      </c>
      <c r="B11" s="59" t="s">
        <v>18</v>
      </c>
      <c r="C11" s="14" t="s">
        <v>25</v>
      </c>
      <c r="D11" s="16"/>
      <c r="E11" s="60"/>
      <c r="F11" s="61">
        <v>32.0</v>
      </c>
      <c r="G11" s="61"/>
      <c r="H11" s="62" t="s">
        <v>5</v>
      </c>
    </row>
    <row r="12">
      <c r="A12" s="63"/>
      <c r="B12" s="59"/>
      <c r="C12" s="14" t="s">
        <v>26</v>
      </c>
      <c r="D12" s="49"/>
      <c r="E12" s="64"/>
      <c r="F12" s="64"/>
      <c r="G12" s="61">
        <v>30.0</v>
      </c>
      <c r="H12" s="62" t="s">
        <v>5</v>
      </c>
      <c r="J12" s="65"/>
      <c r="K12" s="66"/>
      <c r="L12" s="66"/>
      <c r="M12" s="66"/>
    </row>
    <row r="13">
      <c r="A13" s="63"/>
      <c r="B13" s="59" t="s">
        <v>27</v>
      </c>
      <c r="C13" s="14" t="s">
        <v>28</v>
      </c>
      <c r="D13" s="16"/>
      <c r="E13" s="60"/>
      <c r="F13" s="67"/>
      <c r="G13" s="61">
        <v>49.0</v>
      </c>
      <c r="H13" s="62" t="s">
        <v>5</v>
      </c>
      <c r="J13" s="65"/>
      <c r="K13" s="66"/>
      <c r="L13" s="66"/>
      <c r="M13" s="66"/>
    </row>
    <row r="14">
      <c r="A14" s="63"/>
      <c r="B14" s="59"/>
      <c r="C14" s="14" t="s">
        <v>19</v>
      </c>
      <c r="D14" s="49"/>
      <c r="E14" s="68"/>
      <c r="F14" s="68"/>
      <c r="G14" s="62">
        <v>38.0</v>
      </c>
      <c r="H14" s="62" t="s">
        <v>5</v>
      </c>
      <c r="J14" s="32">
        <v>46150.0</v>
      </c>
      <c r="K14" s="33" t="s">
        <v>14</v>
      </c>
      <c r="L14" s="34" t="s">
        <v>15</v>
      </c>
      <c r="M14" s="35" t="s">
        <v>16</v>
      </c>
    </row>
    <row r="15">
      <c r="A15" s="69"/>
      <c r="B15" s="69"/>
      <c r="C15" s="70" t="s">
        <v>29</v>
      </c>
      <c r="D15" s="71"/>
      <c r="E15" s="72"/>
      <c r="F15" s="73"/>
      <c r="G15" s="74">
        <v>49.0</v>
      </c>
      <c r="H15" s="62" t="s">
        <v>5</v>
      </c>
      <c r="J15" s="36" t="s">
        <v>4</v>
      </c>
      <c r="K15" s="75">
        <f>sum(E8:E15)+D17</f>
        <v>0</v>
      </c>
      <c r="L15" s="38">
        <f>D17+E16</f>
        <v>0</v>
      </c>
      <c r="M15" s="39">
        <f t="shared" ref="M15:M17" si="8">K15-L15</f>
        <v>0</v>
      </c>
    </row>
    <row r="16">
      <c r="A16" s="40"/>
      <c r="B16" s="41"/>
      <c r="C16" s="42" t="s">
        <v>13</v>
      </c>
      <c r="D16" s="43">
        <f>SUM(D11:D15)</f>
        <v>0</v>
      </c>
      <c r="E16" s="44">
        <f>SUM(E8:E15)</f>
        <v>0</v>
      </c>
      <c r="F16" s="45">
        <f t="shared" ref="F16:G16" si="7">SUM(F11:F15)</f>
        <v>32</v>
      </c>
      <c r="G16" s="45">
        <f t="shared" si="7"/>
        <v>166</v>
      </c>
      <c r="H16" s="46"/>
      <c r="J16" s="47" t="s">
        <v>5</v>
      </c>
      <c r="K16" s="48">
        <f>sum(D11:G15)</f>
        <v>198</v>
      </c>
      <c r="L16" s="49">
        <f>D17+F16</f>
        <v>32</v>
      </c>
      <c r="M16" s="39">
        <f t="shared" si="8"/>
        <v>166</v>
      </c>
    </row>
    <row r="17">
      <c r="A17" s="76"/>
      <c r="B17" s="77"/>
      <c r="C17" s="78" t="s">
        <v>24</v>
      </c>
      <c r="D17" s="79">
        <f>D16/3</f>
        <v>0</v>
      </c>
      <c r="E17" s="51"/>
      <c r="F17" s="52"/>
      <c r="G17" s="52"/>
      <c r="H17" s="53"/>
      <c r="J17" s="54" t="s">
        <v>6</v>
      </c>
      <c r="K17" s="55">
        <v>0.0</v>
      </c>
      <c r="L17" s="56">
        <f>D17+G16</f>
        <v>166</v>
      </c>
      <c r="M17" s="80">
        <f t="shared" si="8"/>
        <v>-166</v>
      </c>
    </row>
    <row r="18">
      <c r="A18" s="58">
        <v>46270.0</v>
      </c>
      <c r="B18" s="59" t="s">
        <v>30</v>
      </c>
      <c r="C18" s="59" t="s">
        <v>31</v>
      </c>
      <c r="D18" s="81">
        <v>63.25</v>
      </c>
      <c r="E18" s="82"/>
      <c r="F18" s="83"/>
      <c r="G18" s="84"/>
      <c r="H18" s="85" t="s">
        <v>5</v>
      </c>
    </row>
    <row r="19">
      <c r="A19" s="63"/>
      <c r="B19" s="59"/>
      <c r="C19" s="59" t="s">
        <v>32</v>
      </c>
      <c r="D19" s="86"/>
      <c r="E19" s="84">
        <v>35.0</v>
      </c>
      <c r="F19" s="84">
        <v>35.0</v>
      </c>
      <c r="G19" s="84"/>
      <c r="H19" s="85" t="s">
        <v>5</v>
      </c>
      <c r="J19" s="65"/>
      <c r="K19" s="66"/>
      <c r="L19" s="66"/>
      <c r="M19" s="66"/>
    </row>
    <row r="20">
      <c r="A20" s="63"/>
      <c r="B20" s="59"/>
      <c r="C20" s="59" t="s">
        <v>33</v>
      </c>
      <c r="D20" s="86"/>
      <c r="E20" s="84">
        <v>34.5</v>
      </c>
      <c r="F20" s="84">
        <v>34.5</v>
      </c>
      <c r="G20" s="84"/>
      <c r="H20" s="85" t="s">
        <v>5</v>
      </c>
      <c r="J20" s="65"/>
      <c r="K20" s="66"/>
      <c r="L20" s="66"/>
      <c r="M20" s="66"/>
    </row>
    <row r="21">
      <c r="A21" s="63"/>
      <c r="B21" s="59"/>
      <c r="C21" s="59" t="s">
        <v>34</v>
      </c>
      <c r="D21" s="86"/>
      <c r="E21" s="84">
        <v>57.0</v>
      </c>
      <c r="F21" s="83"/>
      <c r="G21" s="84"/>
      <c r="H21" s="85" t="s">
        <v>5</v>
      </c>
      <c r="J21" s="65"/>
      <c r="K21" s="66"/>
      <c r="L21" s="66"/>
      <c r="M21" s="66"/>
    </row>
    <row r="22">
      <c r="A22" s="63"/>
      <c r="B22" s="59"/>
      <c r="C22" s="59" t="s">
        <v>35</v>
      </c>
      <c r="D22" s="86"/>
      <c r="E22" s="84">
        <v>115.0</v>
      </c>
      <c r="F22" s="83"/>
      <c r="G22" s="84"/>
      <c r="H22" s="85" t="s">
        <v>5</v>
      </c>
      <c r="J22" s="65"/>
      <c r="K22" s="66"/>
      <c r="L22" s="66"/>
      <c r="M22" s="66"/>
    </row>
    <row r="23">
      <c r="A23" s="63"/>
      <c r="B23" s="59"/>
      <c r="C23" s="59" t="s">
        <v>36</v>
      </c>
      <c r="D23" s="86"/>
      <c r="E23" s="84">
        <v>199.0</v>
      </c>
      <c r="F23" s="83"/>
      <c r="G23" s="84"/>
      <c r="H23" s="85" t="s">
        <v>5</v>
      </c>
      <c r="J23" s="65"/>
      <c r="K23" s="66"/>
      <c r="L23" s="66"/>
      <c r="M23" s="66"/>
    </row>
    <row r="24">
      <c r="A24" s="63"/>
      <c r="B24" s="59"/>
      <c r="C24" s="59" t="s">
        <v>37</v>
      </c>
      <c r="D24" s="81">
        <v>60.0</v>
      </c>
      <c r="E24" s="83"/>
      <c r="F24" s="83"/>
      <c r="G24" s="84"/>
      <c r="H24" s="85" t="s">
        <v>5</v>
      </c>
      <c r="J24" s="65"/>
      <c r="K24" s="66"/>
      <c r="L24" s="66"/>
      <c r="M24" s="66"/>
    </row>
    <row r="25">
      <c r="A25" s="63"/>
      <c r="B25" s="59"/>
      <c r="C25" s="59" t="s">
        <v>38</v>
      </c>
      <c r="D25" s="86"/>
      <c r="E25" s="83"/>
      <c r="F25" s="84">
        <v>199.0</v>
      </c>
      <c r="G25" s="84"/>
      <c r="H25" s="85" t="s">
        <v>5</v>
      </c>
      <c r="J25" s="65"/>
      <c r="K25" s="66"/>
      <c r="L25" s="66"/>
      <c r="M25" s="66"/>
    </row>
    <row r="26">
      <c r="A26" s="63"/>
      <c r="B26" s="59"/>
      <c r="C26" s="59" t="s">
        <v>39</v>
      </c>
      <c r="D26" s="81">
        <v>49.0</v>
      </c>
      <c r="E26" s="83"/>
      <c r="F26" s="83"/>
      <c r="G26" s="84"/>
      <c r="H26" s="85" t="s">
        <v>5</v>
      </c>
      <c r="J26" s="65"/>
      <c r="K26" s="66"/>
      <c r="L26" s="66"/>
      <c r="M26" s="66"/>
    </row>
    <row r="27">
      <c r="A27" s="63"/>
      <c r="B27" s="59"/>
      <c r="C27" s="59" t="s">
        <v>40</v>
      </c>
      <c r="D27" s="81">
        <v>40.0</v>
      </c>
      <c r="E27" s="83"/>
      <c r="F27" s="83"/>
      <c r="G27" s="84"/>
      <c r="H27" s="85" t="s">
        <v>5</v>
      </c>
      <c r="J27" s="65"/>
      <c r="K27" s="66"/>
      <c r="L27" s="66"/>
      <c r="M27" s="66"/>
    </row>
    <row r="28">
      <c r="A28" s="63"/>
      <c r="B28" s="59"/>
      <c r="C28" s="59" t="s">
        <v>41</v>
      </c>
      <c r="D28" s="81">
        <v>38.0</v>
      </c>
      <c r="E28" s="83"/>
      <c r="F28" s="83"/>
      <c r="G28" s="84"/>
      <c r="H28" s="85" t="s">
        <v>5</v>
      </c>
      <c r="J28" s="65"/>
      <c r="K28" s="66"/>
      <c r="L28" s="66"/>
      <c r="M28" s="66"/>
    </row>
    <row r="29">
      <c r="A29" s="63"/>
      <c r="B29" s="59"/>
      <c r="C29" s="59" t="s">
        <v>42</v>
      </c>
      <c r="D29" s="81">
        <v>69.0</v>
      </c>
      <c r="E29" s="83"/>
      <c r="F29" s="83"/>
      <c r="G29" s="84"/>
      <c r="H29" s="85" t="s">
        <v>5</v>
      </c>
      <c r="J29" s="65"/>
      <c r="K29" s="66"/>
      <c r="L29" s="66"/>
      <c r="M29" s="66"/>
    </row>
    <row r="30">
      <c r="A30" s="63"/>
      <c r="B30" s="59"/>
      <c r="C30" s="59" t="s">
        <v>43</v>
      </c>
      <c r="D30" s="81">
        <v>51.0</v>
      </c>
      <c r="E30" s="83"/>
      <c r="F30" s="83"/>
      <c r="G30" s="84"/>
      <c r="H30" s="85" t="s">
        <v>5</v>
      </c>
      <c r="J30" s="65"/>
      <c r="K30" s="66"/>
      <c r="L30" s="66"/>
      <c r="M30" s="66"/>
    </row>
    <row r="31">
      <c r="A31" s="63"/>
      <c r="B31" s="59"/>
      <c r="C31" s="59" t="s">
        <v>44</v>
      </c>
      <c r="D31" s="86"/>
      <c r="E31" s="83"/>
      <c r="F31" s="84">
        <v>29.0</v>
      </c>
      <c r="G31" s="84"/>
      <c r="H31" s="85" t="s">
        <v>5</v>
      </c>
      <c r="J31" s="65"/>
      <c r="K31" s="66"/>
      <c r="L31" s="66"/>
      <c r="M31" s="66"/>
    </row>
    <row r="32">
      <c r="A32" s="63"/>
      <c r="B32" s="59"/>
      <c r="C32" s="59" t="s">
        <v>45</v>
      </c>
      <c r="D32" s="86"/>
      <c r="E32" s="83"/>
      <c r="F32" s="84">
        <v>34.0</v>
      </c>
      <c r="G32" s="84"/>
      <c r="H32" s="85" t="s">
        <v>5</v>
      </c>
      <c r="J32" s="65"/>
      <c r="K32" s="66"/>
      <c r="L32" s="66"/>
      <c r="M32" s="66"/>
    </row>
    <row r="33">
      <c r="A33" s="63"/>
      <c r="B33" s="59"/>
      <c r="C33" s="59" t="s">
        <v>46</v>
      </c>
      <c r="D33" s="81">
        <v>29.0</v>
      </c>
      <c r="E33" s="83"/>
      <c r="F33" s="83"/>
      <c r="G33" s="84"/>
      <c r="H33" s="85" t="s">
        <v>5</v>
      </c>
      <c r="J33" s="65"/>
      <c r="K33" s="66"/>
      <c r="L33" s="66"/>
      <c r="M33" s="66"/>
    </row>
    <row r="34">
      <c r="A34" s="63"/>
      <c r="B34" s="59"/>
      <c r="C34" s="59" t="s">
        <v>47</v>
      </c>
      <c r="D34" s="81">
        <v>43.0</v>
      </c>
      <c r="E34" s="83"/>
      <c r="F34" s="83"/>
      <c r="G34" s="84"/>
      <c r="H34" s="85" t="s">
        <v>5</v>
      </c>
      <c r="J34" s="65"/>
      <c r="K34" s="66"/>
      <c r="L34" s="66"/>
      <c r="M34" s="66"/>
    </row>
    <row r="35">
      <c r="A35" s="63"/>
      <c r="B35" s="59"/>
      <c r="C35" s="59" t="s">
        <v>48</v>
      </c>
      <c r="D35" s="86"/>
      <c r="E35" s="84">
        <v>105.0</v>
      </c>
      <c r="F35" s="83"/>
      <c r="G35" s="84"/>
      <c r="H35" s="85" t="s">
        <v>5</v>
      </c>
      <c r="J35" s="65"/>
      <c r="K35" s="66"/>
      <c r="L35" s="66"/>
      <c r="M35" s="66"/>
    </row>
    <row r="36">
      <c r="A36" s="63"/>
      <c r="B36" s="59"/>
      <c r="C36" s="59" t="s">
        <v>49</v>
      </c>
      <c r="D36" s="86"/>
      <c r="E36" s="84">
        <v>25.5</v>
      </c>
      <c r="F36" s="84">
        <v>25.5</v>
      </c>
      <c r="G36" s="84"/>
      <c r="H36" s="85" t="s">
        <v>5</v>
      </c>
      <c r="J36" s="65"/>
      <c r="K36" s="66"/>
      <c r="L36" s="66"/>
      <c r="M36" s="66"/>
    </row>
    <row r="37">
      <c r="A37" s="63"/>
      <c r="B37" s="59"/>
      <c r="C37" s="59" t="s">
        <v>50</v>
      </c>
      <c r="D37" s="81">
        <v>118.0</v>
      </c>
      <c r="E37" s="83"/>
      <c r="F37" s="83"/>
      <c r="G37" s="84"/>
      <c r="H37" s="85" t="s">
        <v>5</v>
      </c>
      <c r="J37" s="65"/>
      <c r="K37" s="66"/>
      <c r="L37" s="66"/>
      <c r="M37" s="66"/>
    </row>
    <row r="38">
      <c r="A38" s="63"/>
      <c r="B38" s="59"/>
      <c r="C38" s="59" t="s">
        <v>51</v>
      </c>
      <c r="D38" s="86"/>
      <c r="E38" s="84">
        <v>36.0</v>
      </c>
      <c r="F38" s="84">
        <v>36.0</v>
      </c>
      <c r="G38" s="84"/>
      <c r="H38" s="85" t="s">
        <v>5</v>
      </c>
      <c r="J38" s="65"/>
      <c r="K38" s="66"/>
      <c r="L38" s="66"/>
      <c r="M38" s="66"/>
    </row>
    <row r="39">
      <c r="A39" s="63"/>
      <c r="B39" s="59"/>
      <c r="C39" s="59" t="s">
        <v>52</v>
      </c>
      <c r="D39" s="81">
        <v>11.5</v>
      </c>
      <c r="E39" s="83"/>
      <c r="F39" s="83"/>
      <c r="G39" s="84"/>
      <c r="H39" s="85" t="s">
        <v>5</v>
      </c>
      <c r="J39" s="65"/>
      <c r="K39" s="66"/>
      <c r="L39" s="66"/>
      <c r="M39" s="66"/>
    </row>
    <row r="40">
      <c r="A40" s="63"/>
      <c r="B40" s="59"/>
      <c r="C40" s="59" t="s">
        <v>53</v>
      </c>
      <c r="D40" s="86"/>
      <c r="E40" s="83"/>
      <c r="F40" s="84">
        <v>80.0</v>
      </c>
      <c r="G40" s="84"/>
      <c r="H40" s="85" t="s">
        <v>5</v>
      </c>
      <c r="J40" s="65"/>
      <c r="K40" s="66"/>
      <c r="L40" s="66"/>
      <c r="M40" s="66"/>
    </row>
    <row r="41">
      <c r="A41" s="63"/>
      <c r="B41" s="59"/>
      <c r="C41" s="59" t="s">
        <v>54</v>
      </c>
      <c r="D41" s="86"/>
      <c r="E41" s="84">
        <v>9.5</v>
      </c>
      <c r="F41" s="84">
        <v>9.5</v>
      </c>
      <c r="G41" s="84"/>
      <c r="H41" s="85" t="s">
        <v>5</v>
      </c>
      <c r="J41" s="65"/>
      <c r="K41" s="66"/>
      <c r="L41" s="66"/>
      <c r="M41" s="66"/>
    </row>
    <row r="42">
      <c r="A42" s="63"/>
      <c r="B42" s="59"/>
      <c r="C42" s="59" t="s">
        <v>55</v>
      </c>
      <c r="D42" s="86"/>
      <c r="E42" s="84">
        <v>24.5</v>
      </c>
      <c r="F42" s="84">
        <v>24.5</v>
      </c>
      <c r="G42" s="84"/>
      <c r="H42" s="85" t="s">
        <v>5</v>
      </c>
      <c r="J42" s="65"/>
      <c r="K42" s="66"/>
      <c r="L42" s="66"/>
      <c r="M42" s="66"/>
    </row>
    <row r="43">
      <c r="A43" s="63"/>
      <c r="B43" s="59"/>
      <c r="C43" s="59" t="s">
        <v>56</v>
      </c>
      <c r="D43" s="86"/>
      <c r="E43" s="84">
        <v>24.5</v>
      </c>
      <c r="F43" s="84">
        <v>24.5</v>
      </c>
      <c r="G43" s="84"/>
      <c r="H43" s="85" t="s">
        <v>5</v>
      </c>
      <c r="J43" s="65"/>
      <c r="K43" s="66"/>
      <c r="L43" s="66"/>
      <c r="M43" s="66"/>
    </row>
    <row r="44">
      <c r="A44" s="63"/>
      <c r="B44" s="59"/>
      <c r="C44" s="59" t="s">
        <v>57</v>
      </c>
      <c r="D44" s="86"/>
      <c r="E44" s="84">
        <v>48.5</v>
      </c>
      <c r="F44" s="84">
        <v>48.5</v>
      </c>
      <c r="G44" s="84"/>
      <c r="H44" s="85" t="s">
        <v>5</v>
      </c>
      <c r="J44" s="65"/>
      <c r="K44" s="66"/>
      <c r="L44" s="66"/>
      <c r="M44" s="66"/>
    </row>
    <row r="45">
      <c r="A45" s="63"/>
      <c r="B45" s="59"/>
      <c r="C45" s="59" t="s">
        <v>58</v>
      </c>
      <c r="D45" s="86"/>
      <c r="E45" s="83"/>
      <c r="F45" s="84">
        <v>51.0</v>
      </c>
      <c r="G45" s="84"/>
      <c r="H45" s="85" t="s">
        <v>5</v>
      </c>
      <c r="J45" s="32">
        <v>46151.0</v>
      </c>
      <c r="K45" s="33" t="s">
        <v>14</v>
      </c>
      <c r="L45" s="34" t="s">
        <v>15</v>
      </c>
      <c r="M45" s="35" t="s">
        <v>16</v>
      </c>
    </row>
    <row r="46">
      <c r="A46" s="69"/>
      <c r="B46" s="70" t="s">
        <v>8</v>
      </c>
      <c r="C46" s="70"/>
      <c r="D46" s="71"/>
      <c r="E46" s="87">
        <v>42.5</v>
      </c>
      <c r="F46" s="87">
        <v>42.5</v>
      </c>
      <c r="G46" s="74"/>
      <c r="H46" s="85" t="s">
        <v>5</v>
      </c>
      <c r="J46" s="36" t="s">
        <v>4</v>
      </c>
      <c r="K46" s="37">
        <v>0.0</v>
      </c>
      <c r="L46" s="38">
        <f>D48+E47</f>
        <v>947.0833333</v>
      </c>
      <c r="M46" s="39">
        <f t="shared" ref="M46:M48" si="10">K46-L46</f>
        <v>-947.0833333</v>
      </c>
    </row>
    <row r="47">
      <c r="A47" s="40"/>
      <c r="B47" s="41"/>
      <c r="C47" s="42" t="s">
        <v>13</v>
      </c>
      <c r="D47" s="43">
        <f t="shared" ref="D47:G47" si="9">SUM(D18:D46)</f>
        <v>571.75</v>
      </c>
      <c r="E47" s="44">
        <f t="shared" si="9"/>
        <v>756.5</v>
      </c>
      <c r="F47" s="44">
        <f t="shared" si="9"/>
        <v>673.5</v>
      </c>
      <c r="G47" s="44">
        <f t="shared" si="9"/>
        <v>0</v>
      </c>
      <c r="H47" s="46"/>
      <c r="J47" s="47" t="s">
        <v>5</v>
      </c>
      <c r="K47" s="48">
        <f>sum(D18:G46)</f>
        <v>2001.75</v>
      </c>
      <c r="L47" s="49">
        <f>D48+F47</f>
        <v>864.0833333</v>
      </c>
      <c r="M47" s="39">
        <f t="shared" si="10"/>
        <v>1137.666667</v>
      </c>
    </row>
    <row r="48">
      <c r="A48" s="76"/>
      <c r="B48" s="77"/>
      <c r="C48" s="78" t="s">
        <v>24</v>
      </c>
      <c r="D48" s="79">
        <f>D47/3</f>
        <v>190.5833333</v>
      </c>
      <c r="E48" s="51"/>
      <c r="F48" s="51"/>
      <c r="G48" s="51"/>
      <c r="H48" s="53"/>
      <c r="J48" s="54" t="s">
        <v>6</v>
      </c>
      <c r="K48" s="55">
        <v>0.0</v>
      </c>
      <c r="L48" s="56">
        <f>D48+G47</f>
        <v>190.5833333</v>
      </c>
      <c r="M48" s="80">
        <f t="shared" si="10"/>
        <v>-190.5833333</v>
      </c>
    </row>
    <row r="49">
      <c r="A49" s="58">
        <v>46300.0</v>
      </c>
      <c r="B49" s="59" t="s">
        <v>59</v>
      </c>
      <c r="C49" s="14" t="s">
        <v>60</v>
      </c>
      <c r="D49" s="81"/>
      <c r="E49" s="84">
        <v>22.0</v>
      </c>
      <c r="F49" s="84">
        <v>22.0</v>
      </c>
      <c r="G49" s="84"/>
      <c r="H49" s="85" t="s">
        <v>5</v>
      </c>
    </row>
    <row r="50">
      <c r="A50" s="63"/>
      <c r="B50" s="59"/>
      <c r="C50" s="14" t="s">
        <v>61</v>
      </c>
      <c r="D50" s="81">
        <v>40.0</v>
      </c>
      <c r="E50" s="83"/>
      <c r="F50" s="83"/>
      <c r="G50" s="84"/>
      <c r="H50" s="85" t="s">
        <v>5</v>
      </c>
      <c r="J50" s="65"/>
      <c r="K50" s="66"/>
      <c r="L50" s="66"/>
      <c r="M50" s="66"/>
    </row>
    <row r="51">
      <c r="A51" s="63"/>
      <c r="B51" s="59"/>
      <c r="C51" s="14" t="s">
        <v>62</v>
      </c>
      <c r="D51" s="81">
        <v>48.0</v>
      </c>
      <c r="E51" s="83"/>
      <c r="F51" s="83"/>
      <c r="G51" s="84"/>
      <c r="H51" s="85" t="s">
        <v>5</v>
      </c>
      <c r="J51" s="65"/>
      <c r="K51" s="66"/>
      <c r="L51" s="66"/>
      <c r="M51" s="66"/>
    </row>
    <row r="52">
      <c r="A52" s="63"/>
      <c r="B52" s="59"/>
      <c r="C52" s="14" t="s">
        <v>63</v>
      </c>
      <c r="D52" s="81">
        <v>40.0</v>
      </c>
      <c r="E52" s="83"/>
      <c r="F52" s="83"/>
      <c r="G52" s="84"/>
      <c r="H52" s="85" t="s">
        <v>5</v>
      </c>
      <c r="J52" s="65"/>
      <c r="K52" s="66"/>
      <c r="L52" s="66"/>
      <c r="M52" s="66"/>
    </row>
    <row r="53">
      <c r="A53" s="63"/>
      <c r="B53" s="59"/>
      <c r="C53" s="14" t="s">
        <v>64</v>
      </c>
      <c r="D53" s="86"/>
      <c r="E53" s="83"/>
      <c r="F53" s="84">
        <v>29.0</v>
      </c>
      <c r="G53" s="84"/>
      <c r="H53" s="85" t="s">
        <v>5</v>
      </c>
      <c r="J53" s="65"/>
      <c r="K53" s="66"/>
      <c r="L53" s="66"/>
      <c r="M53" s="66"/>
    </row>
    <row r="54">
      <c r="A54" s="63"/>
      <c r="B54" s="59"/>
      <c r="C54" s="14" t="s">
        <v>65</v>
      </c>
      <c r="D54" s="86"/>
      <c r="E54" s="83"/>
      <c r="F54" s="84">
        <v>44.0</v>
      </c>
      <c r="G54" s="84"/>
      <c r="H54" s="85" t="s">
        <v>5</v>
      </c>
      <c r="J54" s="65"/>
      <c r="K54" s="66"/>
      <c r="L54" s="66"/>
      <c r="M54" s="66"/>
    </row>
    <row r="55">
      <c r="A55" s="63"/>
      <c r="B55" s="59"/>
      <c r="C55" s="14" t="s">
        <v>66</v>
      </c>
      <c r="D55" s="81">
        <v>9.0</v>
      </c>
      <c r="E55" s="83"/>
      <c r="F55" s="83"/>
      <c r="G55" s="84"/>
      <c r="H55" s="85" t="s">
        <v>5</v>
      </c>
      <c r="J55" s="65"/>
      <c r="K55" s="66"/>
      <c r="L55" s="66"/>
      <c r="M55" s="66"/>
    </row>
    <row r="56">
      <c r="A56" s="63"/>
      <c r="B56" s="59"/>
      <c r="C56" s="14" t="s">
        <v>67</v>
      </c>
      <c r="D56" s="86"/>
      <c r="E56" s="84">
        <v>37.5</v>
      </c>
      <c r="F56" s="84">
        <v>37.5</v>
      </c>
      <c r="G56" s="84"/>
      <c r="H56" s="85" t="s">
        <v>5</v>
      </c>
      <c r="J56" s="65"/>
      <c r="K56" s="66"/>
      <c r="L56" s="66"/>
      <c r="M56" s="66"/>
    </row>
    <row r="57">
      <c r="A57" s="63"/>
      <c r="B57" s="59"/>
      <c r="C57" s="14" t="s">
        <v>68</v>
      </c>
      <c r="D57" s="81">
        <v>38.0</v>
      </c>
      <c r="E57" s="83"/>
      <c r="F57" s="83"/>
      <c r="G57" s="84"/>
      <c r="H57" s="85" t="s">
        <v>5</v>
      </c>
      <c r="J57" s="65"/>
      <c r="K57" s="66"/>
      <c r="L57" s="66"/>
      <c r="M57" s="66"/>
    </row>
    <row r="58">
      <c r="A58" s="63"/>
      <c r="B58" s="59"/>
      <c r="C58" s="14" t="s">
        <v>69</v>
      </c>
      <c r="D58" s="86"/>
      <c r="E58" s="88"/>
      <c r="F58" s="85">
        <v>30.0</v>
      </c>
      <c r="G58" s="85"/>
      <c r="H58" s="85" t="s">
        <v>5</v>
      </c>
      <c r="J58" s="32">
        <v>46152.0</v>
      </c>
      <c r="K58" s="33" t="s">
        <v>14</v>
      </c>
      <c r="L58" s="34" t="s">
        <v>15</v>
      </c>
      <c r="M58" s="35" t="s">
        <v>16</v>
      </c>
    </row>
    <row r="59">
      <c r="A59" s="69"/>
      <c r="B59" s="69"/>
      <c r="C59" s="70" t="s">
        <v>70</v>
      </c>
      <c r="D59" s="71"/>
      <c r="E59" s="73"/>
      <c r="F59" s="74">
        <v>32.0</v>
      </c>
      <c r="G59" s="74"/>
      <c r="H59" s="85" t="s">
        <v>5</v>
      </c>
      <c r="J59" s="36" t="s">
        <v>4</v>
      </c>
      <c r="K59" s="37">
        <v>0.0</v>
      </c>
      <c r="L59" s="38">
        <f>D61+E60</f>
        <v>117.8333333</v>
      </c>
      <c r="M59" s="39">
        <f t="shared" ref="M59:M61" si="12">K59-L59</f>
        <v>-117.8333333</v>
      </c>
    </row>
    <row r="60">
      <c r="A60" s="40"/>
      <c r="B60" s="41"/>
      <c r="C60" s="42" t="s">
        <v>13</v>
      </c>
      <c r="D60" s="43">
        <f t="shared" ref="D60:G60" si="11">SUM(D49:D59)</f>
        <v>175</v>
      </c>
      <c r="E60" s="44">
        <f t="shared" si="11"/>
        <v>59.5</v>
      </c>
      <c r="F60" s="44">
        <f t="shared" si="11"/>
        <v>194.5</v>
      </c>
      <c r="G60" s="44">
        <f t="shared" si="11"/>
        <v>0</v>
      </c>
      <c r="H60" s="46"/>
      <c r="J60" s="47" t="s">
        <v>5</v>
      </c>
      <c r="K60" s="48">
        <f>sum(D49:G59)</f>
        <v>429</v>
      </c>
      <c r="L60" s="49">
        <f>D61+F60</f>
        <v>252.8333333</v>
      </c>
      <c r="M60" s="39">
        <f t="shared" si="12"/>
        <v>176.1666667</v>
      </c>
    </row>
    <row r="61">
      <c r="A61" s="76"/>
      <c r="B61" s="77"/>
      <c r="C61" s="78" t="s">
        <v>24</v>
      </c>
      <c r="D61" s="79">
        <f>D60/3</f>
        <v>58.33333333</v>
      </c>
      <c r="E61" s="51"/>
      <c r="F61" s="51"/>
      <c r="G61" s="51"/>
      <c r="H61" s="53"/>
      <c r="J61" s="54" t="s">
        <v>6</v>
      </c>
      <c r="K61" s="55">
        <v>0.0</v>
      </c>
      <c r="L61" s="56">
        <f>D61+G60</f>
        <v>58.33333333</v>
      </c>
      <c r="M61" s="80">
        <f t="shared" si="12"/>
        <v>-58.33333333</v>
      </c>
    </row>
    <row r="62">
      <c r="A62" s="58">
        <v>46331.0</v>
      </c>
      <c r="B62" s="59"/>
      <c r="C62" s="14" t="s">
        <v>71</v>
      </c>
      <c r="D62" s="16"/>
      <c r="E62" s="60"/>
      <c r="F62" s="67"/>
      <c r="G62" s="61">
        <v>1000.0</v>
      </c>
      <c r="H62" s="62" t="s">
        <v>5</v>
      </c>
    </row>
    <row r="63">
      <c r="A63" s="63"/>
      <c r="B63" s="59"/>
      <c r="C63" s="14"/>
      <c r="D63" s="49"/>
      <c r="E63" s="68"/>
      <c r="F63" s="68"/>
      <c r="G63" s="62"/>
      <c r="H63" s="62"/>
      <c r="J63" s="32">
        <v>46153.0</v>
      </c>
      <c r="K63" s="33" t="s">
        <v>14</v>
      </c>
      <c r="L63" s="34" t="s">
        <v>15</v>
      </c>
      <c r="M63" s="35" t="s">
        <v>16</v>
      </c>
    </row>
    <row r="64">
      <c r="A64" s="69"/>
      <c r="B64" s="69"/>
      <c r="C64" s="70"/>
      <c r="D64" s="71"/>
      <c r="E64" s="72"/>
      <c r="F64" s="73"/>
      <c r="G64" s="74"/>
      <c r="H64" s="62"/>
      <c r="J64" s="36" t="s">
        <v>4</v>
      </c>
      <c r="K64" s="37">
        <v>0.0</v>
      </c>
      <c r="L64" s="38">
        <f>D66+E65</f>
        <v>0</v>
      </c>
      <c r="M64" s="39">
        <f t="shared" ref="M64:M66" si="14">K64-L64</f>
        <v>0</v>
      </c>
    </row>
    <row r="65">
      <c r="A65" s="40"/>
      <c r="B65" s="41"/>
      <c r="C65" s="42" t="s">
        <v>13</v>
      </c>
      <c r="D65" s="43">
        <f t="shared" ref="D65:G65" si="13">SUM(D62:D64)</f>
        <v>0</v>
      </c>
      <c r="E65" s="44">
        <f t="shared" si="13"/>
        <v>0</v>
      </c>
      <c r="F65" s="44">
        <f t="shared" si="13"/>
        <v>0</v>
      </c>
      <c r="G65" s="44">
        <f t="shared" si="13"/>
        <v>1000</v>
      </c>
      <c r="H65" s="46"/>
      <c r="J65" s="47" t="s">
        <v>5</v>
      </c>
      <c r="K65" s="48">
        <f>sum(D62:G64)</f>
        <v>1000</v>
      </c>
      <c r="L65" s="49">
        <f>D66+F65</f>
        <v>0</v>
      </c>
      <c r="M65" s="39">
        <f t="shared" si="14"/>
        <v>1000</v>
      </c>
    </row>
    <row r="66">
      <c r="A66" s="76"/>
      <c r="B66" s="77"/>
      <c r="C66" s="78" t="s">
        <v>24</v>
      </c>
      <c r="D66" s="79">
        <f>D65/3</f>
        <v>0</v>
      </c>
      <c r="E66" s="51"/>
      <c r="F66" s="51"/>
      <c r="G66" s="51"/>
      <c r="H66" s="53"/>
      <c r="J66" s="54" t="s">
        <v>6</v>
      </c>
      <c r="K66" s="55">
        <v>0.0</v>
      </c>
      <c r="L66" s="56">
        <f>D66+G65</f>
        <v>1000</v>
      </c>
      <c r="M66" s="80">
        <f t="shared" si="14"/>
        <v>-1000</v>
      </c>
    </row>
    <row r="67">
      <c r="A67" s="58">
        <v>46361.0</v>
      </c>
      <c r="B67" s="59" t="s">
        <v>72</v>
      </c>
      <c r="C67" s="59" t="s">
        <v>73</v>
      </c>
      <c r="D67" s="81"/>
      <c r="E67" s="82"/>
      <c r="F67" s="84">
        <v>55.0</v>
      </c>
      <c r="G67" s="84"/>
      <c r="H67" s="85" t="s">
        <v>5</v>
      </c>
    </row>
    <row r="68">
      <c r="A68" s="63"/>
      <c r="B68" s="59"/>
      <c r="C68" s="59" t="s">
        <v>74</v>
      </c>
      <c r="D68" s="81"/>
      <c r="E68" s="84">
        <v>40.0</v>
      </c>
      <c r="F68" s="83"/>
      <c r="G68" s="84"/>
      <c r="H68" s="85" t="s">
        <v>5</v>
      </c>
      <c r="J68" s="65"/>
      <c r="K68" s="66"/>
      <c r="L68" s="66"/>
      <c r="M68" s="66"/>
    </row>
    <row r="69">
      <c r="A69" s="63"/>
      <c r="B69" s="59" t="s">
        <v>59</v>
      </c>
      <c r="C69" s="59" t="s">
        <v>75</v>
      </c>
      <c r="D69" s="81"/>
      <c r="E69" s="83"/>
      <c r="F69" s="83"/>
      <c r="G69" s="81">
        <v>24.0</v>
      </c>
      <c r="H69" s="85" t="s">
        <v>5</v>
      </c>
      <c r="J69" s="65"/>
      <c r="K69" s="66"/>
      <c r="L69" s="66"/>
      <c r="M69" s="66"/>
    </row>
    <row r="70">
      <c r="A70" s="63"/>
      <c r="B70" s="59"/>
      <c r="C70" s="59" t="s">
        <v>76</v>
      </c>
      <c r="D70" s="81"/>
      <c r="E70" s="83"/>
      <c r="F70" s="83"/>
      <c r="G70" s="84">
        <v>32.5</v>
      </c>
      <c r="H70" s="85" t="s">
        <v>5</v>
      </c>
      <c r="J70" s="65"/>
      <c r="K70" s="66"/>
      <c r="L70" s="66"/>
      <c r="M70" s="66"/>
    </row>
    <row r="71">
      <c r="A71" s="63"/>
      <c r="B71" s="59"/>
      <c r="C71" s="59" t="s">
        <v>77</v>
      </c>
      <c r="D71" s="81"/>
      <c r="E71" s="83"/>
      <c r="F71" s="83"/>
      <c r="G71" s="81">
        <v>39.0</v>
      </c>
      <c r="H71" s="85" t="s">
        <v>5</v>
      </c>
      <c r="J71" s="65"/>
      <c r="K71" s="66"/>
      <c r="L71" s="66"/>
      <c r="M71" s="66"/>
    </row>
    <row r="72">
      <c r="A72" s="63"/>
      <c r="B72" s="59"/>
      <c r="C72" s="59" t="s">
        <v>78</v>
      </c>
      <c r="D72" s="81"/>
      <c r="E72" s="83"/>
      <c r="F72" s="83"/>
      <c r="G72" s="81">
        <v>115.0</v>
      </c>
      <c r="H72" s="85" t="s">
        <v>5</v>
      </c>
      <c r="J72" s="65"/>
      <c r="K72" s="66"/>
      <c r="L72" s="66"/>
      <c r="M72" s="66"/>
    </row>
    <row r="73">
      <c r="A73" s="63"/>
      <c r="B73" s="59"/>
      <c r="C73" s="59" t="s">
        <v>79</v>
      </c>
      <c r="D73" s="81">
        <v>59.0</v>
      </c>
      <c r="E73" s="83"/>
      <c r="F73" s="83"/>
      <c r="G73" s="84"/>
      <c r="H73" s="85" t="s">
        <v>5</v>
      </c>
      <c r="J73" s="65"/>
      <c r="K73" s="66"/>
      <c r="L73" s="66"/>
      <c r="M73" s="66"/>
    </row>
    <row r="74">
      <c r="A74" s="63"/>
      <c r="B74" s="59"/>
      <c r="C74" s="59" t="s">
        <v>80</v>
      </c>
      <c r="D74" s="81"/>
      <c r="E74" s="81">
        <v>30.0</v>
      </c>
      <c r="F74" s="81"/>
      <c r="G74" s="84"/>
      <c r="H74" s="85" t="s">
        <v>5</v>
      </c>
      <c r="J74" s="65"/>
      <c r="K74" s="66"/>
      <c r="L74" s="66"/>
      <c r="M74" s="66"/>
    </row>
    <row r="75">
      <c r="A75" s="63"/>
      <c r="B75" s="59"/>
      <c r="C75" s="59" t="s">
        <v>81</v>
      </c>
      <c r="D75" s="81">
        <v>24.0</v>
      </c>
      <c r="E75" s="83"/>
      <c r="F75" s="83"/>
      <c r="G75" s="84"/>
      <c r="H75" s="85" t="s">
        <v>5</v>
      </c>
      <c r="J75" s="65"/>
      <c r="K75" s="66"/>
      <c r="L75" s="66"/>
      <c r="M75" s="66"/>
    </row>
    <row r="76">
      <c r="A76" s="63"/>
      <c r="B76" s="59"/>
      <c r="C76" s="59" t="s">
        <v>82</v>
      </c>
      <c r="D76" s="81"/>
      <c r="E76" s="83"/>
      <c r="F76" s="83"/>
      <c r="G76" s="81">
        <v>15.0</v>
      </c>
      <c r="H76" s="85" t="s">
        <v>5</v>
      </c>
      <c r="J76" s="65"/>
      <c r="K76" s="66"/>
      <c r="L76" s="66"/>
      <c r="M76" s="66"/>
    </row>
    <row r="77">
      <c r="A77" s="63"/>
      <c r="B77" s="59"/>
      <c r="C77" s="59" t="s">
        <v>82</v>
      </c>
      <c r="D77" s="81"/>
      <c r="E77" s="83"/>
      <c r="F77" s="83"/>
      <c r="G77" s="81">
        <v>15.0</v>
      </c>
      <c r="H77" s="85" t="s">
        <v>5</v>
      </c>
      <c r="J77" s="65"/>
      <c r="K77" s="66"/>
      <c r="L77" s="66"/>
      <c r="M77" s="66"/>
    </row>
    <row r="78">
      <c r="A78" s="63"/>
      <c r="B78" s="59"/>
      <c r="C78" s="59" t="s">
        <v>83</v>
      </c>
      <c r="D78" s="81"/>
      <c r="E78" s="83"/>
      <c r="F78" s="83"/>
      <c r="G78" s="81">
        <v>78.0</v>
      </c>
      <c r="H78" s="85" t="s">
        <v>5</v>
      </c>
      <c r="J78" s="65"/>
      <c r="K78" s="66"/>
      <c r="L78" s="66"/>
      <c r="M78" s="66"/>
    </row>
    <row r="79">
      <c r="A79" s="63"/>
      <c r="B79" s="59"/>
      <c r="C79" s="59" t="s">
        <v>84</v>
      </c>
      <c r="D79" s="81"/>
      <c r="E79" s="83"/>
      <c r="F79" s="83"/>
      <c r="G79" s="81">
        <v>30.0</v>
      </c>
      <c r="H79" s="85" t="s">
        <v>5</v>
      </c>
      <c r="J79" s="65"/>
      <c r="K79" s="66"/>
      <c r="L79" s="66"/>
      <c r="M79" s="66"/>
    </row>
    <row r="80">
      <c r="A80" s="63"/>
      <c r="B80" s="59"/>
      <c r="C80" s="59" t="s">
        <v>85</v>
      </c>
      <c r="D80" s="81">
        <v>89.0</v>
      </c>
      <c r="E80" s="83"/>
      <c r="F80" s="83"/>
      <c r="G80" s="84"/>
      <c r="H80" s="85" t="s">
        <v>5</v>
      </c>
      <c r="J80" s="65"/>
      <c r="K80" s="66"/>
      <c r="L80" s="66"/>
      <c r="M80" s="66"/>
    </row>
    <row r="81">
      <c r="A81" s="63"/>
      <c r="B81" s="59"/>
      <c r="C81" s="59" t="s">
        <v>86</v>
      </c>
      <c r="D81" s="81">
        <v>20.0</v>
      </c>
      <c r="E81" s="83"/>
      <c r="F81" s="83"/>
      <c r="G81" s="84"/>
      <c r="H81" s="85" t="s">
        <v>5</v>
      </c>
      <c r="J81" s="65"/>
      <c r="K81" s="66"/>
      <c r="L81" s="66"/>
      <c r="M81" s="66"/>
    </row>
    <row r="82">
      <c r="A82" s="63"/>
      <c r="B82" s="59"/>
      <c r="C82" s="59" t="s">
        <v>87</v>
      </c>
      <c r="D82" s="81"/>
      <c r="E82" s="83"/>
      <c r="F82" s="83"/>
      <c r="G82" s="81">
        <v>35.0</v>
      </c>
      <c r="H82" s="85" t="s">
        <v>5</v>
      </c>
      <c r="J82" s="65"/>
      <c r="K82" s="66"/>
      <c r="L82" s="66"/>
      <c r="M82" s="66"/>
    </row>
    <row r="83">
      <c r="A83" s="63"/>
      <c r="B83" s="59"/>
      <c r="C83" s="59" t="s">
        <v>88</v>
      </c>
      <c r="D83" s="81">
        <v>21.0</v>
      </c>
      <c r="E83" s="83"/>
      <c r="F83" s="83"/>
      <c r="G83" s="84"/>
      <c r="H83" s="85" t="s">
        <v>5</v>
      </c>
      <c r="J83" s="65"/>
      <c r="K83" s="66"/>
      <c r="L83" s="66"/>
      <c r="M83" s="66"/>
    </row>
    <row r="84">
      <c r="A84" s="63"/>
      <c r="B84" s="59"/>
      <c r="C84" s="59" t="s">
        <v>89</v>
      </c>
      <c r="D84" s="81">
        <v>10.25</v>
      </c>
      <c r="E84" s="83"/>
      <c r="F84" s="83"/>
      <c r="G84" s="84"/>
      <c r="H84" s="85" t="s">
        <v>5</v>
      </c>
      <c r="J84" s="65"/>
      <c r="K84" s="66"/>
      <c r="L84" s="66"/>
      <c r="M84" s="66"/>
    </row>
    <row r="85">
      <c r="A85" s="63"/>
      <c r="B85" s="59"/>
      <c r="C85" s="59" t="s">
        <v>90</v>
      </c>
      <c r="D85" s="81"/>
      <c r="E85" s="83"/>
      <c r="F85" s="83"/>
      <c r="G85" s="81">
        <v>35.0</v>
      </c>
      <c r="H85" s="85" t="s">
        <v>5</v>
      </c>
      <c r="J85" s="65"/>
      <c r="K85" s="66"/>
      <c r="L85" s="66"/>
      <c r="M85" s="66"/>
    </row>
    <row r="86">
      <c r="A86" s="63"/>
      <c r="B86" s="59"/>
      <c r="C86" s="59" t="s">
        <v>91</v>
      </c>
      <c r="D86" s="81">
        <v>23.0</v>
      </c>
      <c r="E86" s="83"/>
      <c r="F86" s="83"/>
      <c r="G86" s="84"/>
      <c r="H86" s="85" t="s">
        <v>5</v>
      </c>
      <c r="J86" s="65"/>
      <c r="K86" s="66"/>
      <c r="L86" s="66"/>
      <c r="M86" s="66"/>
    </row>
    <row r="87">
      <c r="A87" s="63"/>
      <c r="B87" s="59"/>
      <c r="C87" s="59" t="s">
        <v>92</v>
      </c>
      <c r="D87" s="81"/>
      <c r="E87" s="83"/>
      <c r="F87" s="83"/>
      <c r="G87" s="81">
        <v>37.0</v>
      </c>
      <c r="H87" s="85" t="s">
        <v>5</v>
      </c>
      <c r="J87" s="65"/>
      <c r="K87" s="66"/>
      <c r="L87" s="66"/>
      <c r="M87" s="66"/>
    </row>
    <row r="88">
      <c r="A88" s="63"/>
      <c r="B88" s="59"/>
      <c r="C88" s="59" t="s">
        <v>93</v>
      </c>
      <c r="D88" s="81"/>
      <c r="E88" s="83"/>
      <c r="F88" s="83"/>
      <c r="G88" s="81">
        <v>41.0</v>
      </c>
      <c r="H88" s="85" t="s">
        <v>5</v>
      </c>
      <c r="J88" s="65"/>
      <c r="K88" s="66"/>
      <c r="L88" s="66"/>
      <c r="M88" s="66"/>
    </row>
    <row r="89">
      <c r="A89" s="63"/>
      <c r="B89" s="59"/>
      <c r="C89" s="59" t="s">
        <v>94</v>
      </c>
      <c r="D89" s="81"/>
      <c r="E89" s="83"/>
      <c r="F89" s="83"/>
      <c r="G89" s="81">
        <v>37.0</v>
      </c>
      <c r="H89" s="85" t="s">
        <v>5</v>
      </c>
      <c r="J89" s="65"/>
      <c r="K89" s="66"/>
      <c r="L89" s="66"/>
      <c r="M89" s="66"/>
    </row>
    <row r="90">
      <c r="A90" s="63"/>
      <c r="B90" s="59"/>
      <c r="C90" s="59" t="s">
        <v>82</v>
      </c>
      <c r="D90" s="81"/>
      <c r="E90" s="83"/>
      <c r="F90" s="83"/>
      <c r="G90" s="81">
        <v>15.0</v>
      </c>
      <c r="H90" s="85" t="s">
        <v>5</v>
      </c>
      <c r="J90" s="65"/>
      <c r="K90" s="66"/>
      <c r="L90" s="66"/>
      <c r="M90" s="66"/>
    </row>
    <row r="91">
      <c r="A91" s="63"/>
      <c r="B91" s="59"/>
      <c r="C91" s="59" t="s">
        <v>95</v>
      </c>
      <c r="D91" s="81"/>
      <c r="E91" s="83"/>
      <c r="F91" s="83"/>
      <c r="G91" s="81">
        <v>15.0</v>
      </c>
      <c r="H91" s="85" t="s">
        <v>5</v>
      </c>
      <c r="J91" s="65"/>
      <c r="K91" s="66"/>
      <c r="L91" s="66"/>
      <c r="M91" s="66"/>
    </row>
    <row r="92">
      <c r="A92" s="63"/>
      <c r="B92" s="59"/>
      <c r="C92" s="59" t="s">
        <v>96</v>
      </c>
      <c r="D92" s="81"/>
      <c r="E92" s="83"/>
      <c r="F92" s="81">
        <v>20.0</v>
      </c>
      <c r="G92" s="84"/>
      <c r="H92" s="85" t="s">
        <v>5</v>
      </c>
      <c r="J92" s="65"/>
      <c r="K92" s="66"/>
      <c r="L92" s="66"/>
      <c r="M92" s="66"/>
    </row>
    <row r="93">
      <c r="A93" s="63"/>
      <c r="B93" s="59"/>
      <c r="C93" s="59" t="s">
        <v>97</v>
      </c>
      <c r="D93" s="81">
        <v>134.0</v>
      </c>
      <c r="E93" s="83"/>
      <c r="F93" s="83"/>
      <c r="G93" s="84"/>
      <c r="H93" s="85" t="s">
        <v>5</v>
      </c>
      <c r="J93" s="65"/>
      <c r="K93" s="66"/>
      <c r="L93" s="66"/>
      <c r="M93" s="66"/>
    </row>
    <row r="94">
      <c r="A94" s="63"/>
      <c r="B94" s="59"/>
      <c r="C94" s="59" t="s">
        <v>98</v>
      </c>
      <c r="D94" s="81"/>
      <c r="E94" s="83"/>
      <c r="F94" s="83"/>
      <c r="G94" s="81">
        <v>75.0</v>
      </c>
      <c r="H94" s="85" t="s">
        <v>5</v>
      </c>
      <c r="J94" s="65"/>
      <c r="K94" s="66"/>
      <c r="L94" s="66"/>
      <c r="M94" s="66"/>
    </row>
    <row r="95">
      <c r="A95" s="63"/>
      <c r="B95" s="59"/>
      <c r="C95" s="59" t="s">
        <v>99</v>
      </c>
      <c r="D95" s="81"/>
      <c r="E95" s="83"/>
      <c r="F95" s="83"/>
      <c r="G95" s="81">
        <v>45.0</v>
      </c>
      <c r="H95" s="85" t="s">
        <v>5</v>
      </c>
      <c r="J95" s="65"/>
      <c r="K95" s="66"/>
      <c r="L95" s="66"/>
      <c r="M95" s="66"/>
    </row>
    <row r="96">
      <c r="A96" s="63"/>
      <c r="B96" s="59"/>
      <c r="C96" s="59" t="s">
        <v>100</v>
      </c>
      <c r="D96" s="81"/>
      <c r="E96" s="83"/>
      <c r="F96" s="83"/>
      <c r="G96" s="81">
        <v>65.0</v>
      </c>
      <c r="H96" s="85" t="s">
        <v>5</v>
      </c>
      <c r="J96" s="65"/>
      <c r="K96" s="66"/>
      <c r="L96" s="66"/>
      <c r="M96" s="66"/>
    </row>
    <row r="97">
      <c r="A97" s="63"/>
      <c r="B97" s="59"/>
      <c r="C97" s="59" t="s">
        <v>101</v>
      </c>
      <c r="D97" s="81"/>
      <c r="E97" s="83"/>
      <c r="F97" s="83"/>
      <c r="G97" s="81">
        <v>65.0</v>
      </c>
      <c r="H97" s="85" t="s">
        <v>5</v>
      </c>
      <c r="J97" s="65"/>
      <c r="K97" s="66"/>
      <c r="L97" s="66"/>
      <c r="M97" s="66"/>
    </row>
    <row r="98">
      <c r="A98" s="63"/>
      <c r="B98" s="59"/>
      <c r="C98" s="59" t="s">
        <v>102</v>
      </c>
      <c r="D98" s="81">
        <v>10.0</v>
      </c>
      <c r="E98" s="83"/>
      <c r="F98" s="83"/>
      <c r="G98" s="84"/>
      <c r="H98" s="85" t="s">
        <v>5</v>
      </c>
      <c r="J98" s="65"/>
      <c r="K98" s="66"/>
      <c r="L98" s="66"/>
      <c r="M98" s="66"/>
    </row>
    <row r="99">
      <c r="A99" s="63"/>
      <c r="B99" s="59"/>
      <c r="C99" s="59" t="s">
        <v>103</v>
      </c>
      <c r="D99" s="81"/>
      <c r="E99" s="83"/>
      <c r="F99" s="81"/>
      <c r="G99" s="81">
        <v>24.0</v>
      </c>
      <c r="H99" s="85" t="s">
        <v>5</v>
      </c>
      <c r="J99" s="65"/>
      <c r="K99" s="66"/>
      <c r="L99" s="66"/>
      <c r="M99" s="66"/>
    </row>
    <row r="100">
      <c r="A100" s="63"/>
      <c r="B100" s="59"/>
      <c r="C100" s="59" t="s">
        <v>104</v>
      </c>
      <c r="D100" s="81"/>
      <c r="E100" s="83"/>
      <c r="F100" s="83"/>
      <c r="G100" s="81">
        <v>49.0</v>
      </c>
      <c r="H100" s="85" t="s">
        <v>5</v>
      </c>
      <c r="J100" s="65"/>
      <c r="K100" s="66"/>
      <c r="L100" s="66"/>
      <c r="M100" s="66"/>
    </row>
    <row r="101">
      <c r="A101" s="63"/>
      <c r="B101" s="59"/>
      <c r="C101" s="59" t="s">
        <v>105</v>
      </c>
      <c r="D101" s="81">
        <v>125.0</v>
      </c>
      <c r="E101" s="83"/>
      <c r="F101" s="83"/>
      <c r="G101" s="84"/>
      <c r="H101" s="85" t="s">
        <v>5</v>
      </c>
      <c r="J101" s="65"/>
      <c r="K101" s="66"/>
      <c r="L101" s="66"/>
      <c r="M101" s="66"/>
    </row>
    <row r="102">
      <c r="A102" s="63"/>
      <c r="B102" s="59" t="s">
        <v>106</v>
      </c>
      <c r="C102" s="59" t="s">
        <v>106</v>
      </c>
      <c r="D102" s="81">
        <v>120.0</v>
      </c>
      <c r="E102" s="88"/>
      <c r="F102" s="88"/>
      <c r="G102" s="85"/>
      <c r="H102" s="85" t="s">
        <v>5</v>
      </c>
      <c r="J102" s="32">
        <v>46154.0</v>
      </c>
      <c r="K102" s="33" t="s">
        <v>14</v>
      </c>
      <c r="L102" s="34" t="s">
        <v>15</v>
      </c>
      <c r="M102" s="35" t="s">
        <v>16</v>
      </c>
    </row>
    <row r="103">
      <c r="A103" s="69"/>
      <c r="B103" s="69"/>
      <c r="C103" s="70"/>
      <c r="D103" s="71"/>
      <c r="E103" s="72"/>
      <c r="F103" s="73"/>
      <c r="G103" s="74"/>
      <c r="H103" s="85" t="s">
        <v>5</v>
      </c>
      <c r="J103" s="36" t="s">
        <v>4</v>
      </c>
      <c r="K103" s="37">
        <v>0.0</v>
      </c>
      <c r="L103" s="38">
        <f>D105+E104</f>
        <v>281.75</v>
      </c>
      <c r="M103" s="39">
        <f t="shared" ref="M103:M105" si="16">K103-L103</f>
        <v>-281.75</v>
      </c>
    </row>
    <row r="104">
      <c r="A104" s="40"/>
      <c r="B104" s="41"/>
      <c r="C104" s="42" t="s">
        <v>13</v>
      </c>
      <c r="D104" s="43">
        <f t="shared" ref="D104:G104" si="15">SUM(D67:D103)</f>
        <v>635.25</v>
      </c>
      <c r="E104" s="44">
        <f t="shared" si="15"/>
        <v>70</v>
      </c>
      <c r="F104" s="44">
        <f t="shared" si="15"/>
        <v>75</v>
      </c>
      <c r="G104" s="44">
        <f t="shared" si="15"/>
        <v>886.5</v>
      </c>
      <c r="H104" s="89"/>
      <c r="J104" s="47" t="s">
        <v>5</v>
      </c>
      <c r="K104" s="48">
        <f>sum(D67:G103)</f>
        <v>1666.75</v>
      </c>
      <c r="L104" s="49">
        <f>D105+F104</f>
        <v>286.75</v>
      </c>
      <c r="M104" s="39">
        <f t="shared" si="16"/>
        <v>1380</v>
      </c>
    </row>
    <row r="105">
      <c r="A105" s="76"/>
      <c r="B105" s="77"/>
      <c r="C105" s="78" t="s">
        <v>24</v>
      </c>
      <c r="D105" s="79">
        <f>D104/3</f>
        <v>211.75</v>
      </c>
      <c r="E105" s="51"/>
      <c r="F105" s="51"/>
      <c r="G105" s="51"/>
      <c r="H105" s="90"/>
      <c r="J105" s="54" t="s">
        <v>6</v>
      </c>
      <c r="K105" s="55">
        <v>0.0</v>
      </c>
      <c r="L105" s="56">
        <f>D105+G104</f>
        <v>1098.25</v>
      </c>
      <c r="M105" s="80">
        <f t="shared" si="16"/>
        <v>-1098.25</v>
      </c>
    </row>
    <row r="106">
      <c r="A106" s="59" t="s">
        <v>107</v>
      </c>
      <c r="B106" s="59" t="s">
        <v>19</v>
      </c>
      <c r="C106" s="14" t="s">
        <v>19</v>
      </c>
      <c r="D106" s="16"/>
      <c r="E106" s="61">
        <v>37.5</v>
      </c>
      <c r="F106" s="61">
        <v>37.5</v>
      </c>
      <c r="G106" s="61"/>
      <c r="H106" s="62" t="s">
        <v>5</v>
      </c>
    </row>
    <row r="107">
      <c r="A107" s="63"/>
      <c r="B107" s="59"/>
      <c r="C107" s="14"/>
      <c r="D107" s="49"/>
      <c r="E107" s="91"/>
      <c r="F107" s="91"/>
      <c r="G107" s="62"/>
      <c r="H107" s="62"/>
      <c r="J107" s="32">
        <v>46157.0</v>
      </c>
      <c r="K107" s="33" t="s">
        <v>14</v>
      </c>
      <c r="L107" s="34" t="s">
        <v>15</v>
      </c>
      <c r="M107" s="35" t="s">
        <v>16</v>
      </c>
    </row>
    <row r="108">
      <c r="A108" s="69"/>
      <c r="B108" s="70"/>
      <c r="C108" s="70"/>
      <c r="D108" s="92"/>
      <c r="E108" s="72"/>
      <c r="F108" s="73"/>
      <c r="G108" s="74"/>
      <c r="H108" s="62"/>
      <c r="J108" s="36" t="s">
        <v>4</v>
      </c>
      <c r="K108" s="37">
        <v>0.0</v>
      </c>
      <c r="L108" s="38">
        <f>D110+E109</f>
        <v>37.5</v>
      </c>
      <c r="M108" s="39">
        <f t="shared" ref="M108:M110" si="18">K108-L108</f>
        <v>-37.5</v>
      </c>
    </row>
    <row r="109">
      <c r="A109" s="40"/>
      <c r="B109" s="41"/>
      <c r="C109" s="42" t="s">
        <v>13</v>
      </c>
      <c r="D109" s="43">
        <f t="shared" ref="D109:G109" si="17">SUM(D106:D108)</f>
        <v>0</v>
      </c>
      <c r="E109" s="44">
        <f t="shared" si="17"/>
        <v>37.5</v>
      </c>
      <c r="F109" s="44">
        <f t="shared" si="17"/>
        <v>37.5</v>
      </c>
      <c r="G109" s="44">
        <f t="shared" si="17"/>
        <v>0</v>
      </c>
      <c r="H109" s="46"/>
      <c r="J109" s="47" t="s">
        <v>5</v>
      </c>
      <c r="K109" s="48">
        <f>sum(D106:G108)</f>
        <v>75</v>
      </c>
      <c r="L109" s="49">
        <f>D110+F109</f>
        <v>37.5</v>
      </c>
      <c r="M109" s="39">
        <f t="shared" si="18"/>
        <v>37.5</v>
      </c>
    </row>
    <row r="110">
      <c r="A110" s="76"/>
      <c r="B110" s="77"/>
      <c r="C110" s="78" t="s">
        <v>24</v>
      </c>
      <c r="D110" s="79">
        <f>D109/3</f>
        <v>0</v>
      </c>
      <c r="E110" s="51"/>
      <c r="F110" s="51"/>
      <c r="G110" s="51"/>
      <c r="H110" s="53"/>
      <c r="J110" s="54" t="s">
        <v>6</v>
      </c>
      <c r="K110" s="55">
        <v>0.0</v>
      </c>
      <c r="L110" s="56">
        <f>D110+G109</f>
        <v>0</v>
      </c>
      <c r="M110" s="80">
        <f t="shared" si="18"/>
        <v>0</v>
      </c>
    </row>
    <row r="111">
      <c r="A111" s="59" t="s">
        <v>108</v>
      </c>
      <c r="B111" s="59" t="s">
        <v>109</v>
      </c>
      <c r="C111" s="14" t="s">
        <v>110</v>
      </c>
      <c r="D111" s="16"/>
      <c r="E111" s="61">
        <v>137.0</v>
      </c>
      <c r="F111" s="67"/>
      <c r="G111" s="61"/>
      <c r="H111" s="62" t="s">
        <v>5</v>
      </c>
    </row>
    <row r="112">
      <c r="A112" s="63"/>
      <c r="B112" s="59" t="s">
        <v>111</v>
      </c>
      <c r="C112" s="14"/>
      <c r="D112" s="49"/>
      <c r="E112" s="67"/>
      <c r="F112" s="61">
        <v>99.0</v>
      </c>
      <c r="G112" s="61"/>
      <c r="H112" s="62"/>
      <c r="J112" s="65"/>
      <c r="K112" s="66"/>
      <c r="L112" s="66"/>
      <c r="M112" s="66"/>
    </row>
    <row r="113">
      <c r="A113" s="63"/>
      <c r="B113" s="59" t="s">
        <v>112</v>
      </c>
      <c r="C113" s="14" t="s">
        <v>112</v>
      </c>
      <c r="D113" s="49"/>
      <c r="E113" s="91">
        <f>160*80%</f>
        <v>128</v>
      </c>
      <c r="F113" s="91">
        <f>160*20%</f>
        <v>32</v>
      </c>
      <c r="G113" s="62"/>
      <c r="H113" s="62" t="s">
        <v>5</v>
      </c>
      <c r="J113" s="32">
        <v>46157.0</v>
      </c>
      <c r="K113" s="33" t="s">
        <v>14</v>
      </c>
      <c r="L113" s="34" t="s">
        <v>15</v>
      </c>
      <c r="M113" s="35" t="s">
        <v>16</v>
      </c>
    </row>
    <row r="114">
      <c r="A114" s="69"/>
      <c r="B114" s="70" t="s">
        <v>27</v>
      </c>
      <c r="C114" s="70" t="s">
        <v>113</v>
      </c>
      <c r="D114" s="92">
        <v>25.0</v>
      </c>
      <c r="E114" s="72"/>
      <c r="F114" s="73"/>
      <c r="G114" s="74"/>
      <c r="H114" s="62" t="s">
        <v>5</v>
      </c>
      <c r="J114" s="36" t="s">
        <v>4</v>
      </c>
      <c r="K114" s="37">
        <v>0.0</v>
      </c>
      <c r="L114" s="38">
        <f>D116+E115</f>
        <v>273.3333333</v>
      </c>
      <c r="M114" s="39">
        <f t="shared" ref="M114:M116" si="20">K114-L114</f>
        <v>-273.3333333</v>
      </c>
    </row>
    <row r="115">
      <c r="A115" s="40"/>
      <c r="B115" s="41"/>
      <c r="C115" s="42" t="s">
        <v>13</v>
      </c>
      <c r="D115" s="43">
        <f t="shared" ref="D115:G115" si="19">SUM(D111:D114)</f>
        <v>25</v>
      </c>
      <c r="E115" s="44">
        <f t="shared" si="19"/>
        <v>265</v>
      </c>
      <c r="F115" s="45">
        <f t="shared" si="19"/>
        <v>131</v>
      </c>
      <c r="G115" s="45">
        <f t="shared" si="19"/>
        <v>0</v>
      </c>
      <c r="H115" s="46"/>
      <c r="J115" s="47" t="s">
        <v>5</v>
      </c>
      <c r="K115" s="48">
        <f>sum(D111:G114)</f>
        <v>421</v>
      </c>
      <c r="L115" s="49">
        <f>D116+F115</f>
        <v>139.3333333</v>
      </c>
      <c r="M115" s="39">
        <f t="shared" si="20"/>
        <v>281.6666667</v>
      </c>
    </row>
    <row r="116">
      <c r="A116" s="76"/>
      <c r="B116" s="77"/>
      <c r="C116" s="78" t="s">
        <v>24</v>
      </c>
      <c r="D116" s="79">
        <f>D115/3</f>
        <v>8.333333333</v>
      </c>
      <c r="E116" s="51"/>
      <c r="F116" s="52"/>
      <c r="G116" s="52"/>
      <c r="H116" s="53"/>
      <c r="J116" s="54" t="s">
        <v>6</v>
      </c>
      <c r="K116" s="55">
        <v>0.0</v>
      </c>
      <c r="L116" s="56">
        <f>D116+G115</f>
        <v>8.333333333</v>
      </c>
      <c r="M116" s="80">
        <f t="shared" si="20"/>
        <v>-8.333333333</v>
      </c>
    </row>
    <row r="117">
      <c r="A117" s="59" t="s">
        <v>114</v>
      </c>
      <c r="B117" s="59" t="s">
        <v>27</v>
      </c>
      <c r="C117" s="59" t="s">
        <v>115</v>
      </c>
      <c r="D117" s="81"/>
      <c r="E117" s="84">
        <v>20.0</v>
      </c>
      <c r="F117" s="83"/>
      <c r="G117" s="84"/>
      <c r="H117" s="62" t="s">
        <v>5</v>
      </c>
    </row>
    <row r="118">
      <c r="A118" s="63"/>
      <c r="B118" s="59"/>
      <c r="C118" s="59" t="s">
        <v>116</v>
      </c>
      <c r="D118" s="86"/>
      <c r="E118" s="88"/>
      <c r="F118" s="85">
        <v>19.0</v>
      </c>
      <c r="G118" s="84"/>
      <c r="H118" s="62" t="s">
        <v>5</v>
      </c>
      <c r="J118" s="65"/>
      <c r="K118" s="66"/>
      <c r="L118" s="66"/>
      <c r="M118" s="66"/>
    </row>
    <row r="119">
      <c r="A119" s="63"/>
      <c r="B119" s="59" t="s">
        <v>117</v>
      </c>
      <c r="C119" s="59" t="s">
        <v>118</v>
      </c>
      <c r="D119" s="86"/>
      <c r="E119" s="84">
        <v>55.0</v>
      </c>
      <c r="F119" s="84"/>
      <c r="G119" s="84"/>
      <c r="H119" s="62" t="s">
        <v>5</v>
      </c>
      <c r="J119" s="65"/>
      <c r="K119" s="66"/>
      <c r="L119" s="66"/>
      <c r="M119" s="66"/>
    </row>
    <row r="120">
      <c r="A120" s="63"/>
      <c r="B120" s="59" t="s">
        <v>119</v>
      </c>
      <c r="C120" s="59" t="s">
        <v>120</v>
      </c>
      <c r="D120" s="86">
        <f>42*5</f>
        <v>210</v>
      </c>
      <c r="E120" s="83"/>
      <c r="F120" s="84"/>
      <c r="G120" s="84"/>
      <c r="H120" s="62" t="s">
        <v>5</v>
      </c>
      <c r="J120" s="65"/>
      <c r="K120" s="66"/>
      <c r="L120" s="66"/>
      <c r="M120" s="66"/>
    </row>
    <row r="121">
      <c r="A121" s="63"/>
      <c r="B121" s="59" t="s">
        <v>121</v>
      </c>
      <c r="C121" s="59" t="s">
        <v>122</v>
      </c>
      <c r="D121" s="86">
        <f>42*4</f>
        <v>168</v>
      </c>
      <c r="E121" s="83"/>
      <c r="F121" s="84"/>
      <c r="G121" s="84"/>
      <c r="H121" s="62" t="s">
        <v>5</v>
      </c>
      <c r="J121" s="65"/>
      <c r="K121" s="66"/>
      <c r="L121" s="66"/>
      <c r="M121" s="66"/>
    </row>
    <row r="122">
      <c r="A122" s="63"/>
      <c r="B122" s="59" t="s">
        <v>123</v>
      </c>
      <c r="C122" s="59" t="s">
        <v>120</v>
      </c>
      <c r="D122" s="86">
        <f>10*5</f>
        <v>50</v>
      </c>
      <c r="E122" s="83"/>
      <c r="F122" s="84"/>
      <c r="G122" s="84"/>
      <c r="H122" s="62" t="s">
        <v>5</v>
      </c>
      <c r="J122" s="65"/>
      <c r="K122" s="66"/>
      <c r="L122" s="66"/>
      <c r="M122" s="66"/>
    </row>
    <row r="123">
      <c r="A123" s="63"/>
      <c r="B123" s="59" t="s">
        <v>124</v>
      </c>
      <c r="C123" s="59" t="s">
        <v>125</v>
      </c>
      <c r="D123" s="81">
        <v>75.0</v>
      </c>
      <c r="E123" s="83"/>
      <c r="F123" s="84"/>
      <c r="G123" s="84"/>
      <c r="H123" s="62" t="s">
        <v>5</v>
      </c>
      <c r="J123" s="65"/>
      <c r="K123" s="66"/>
      <c r="L123" s="66"/>
      <c r="M123" s="66"/>
    </row>
    <row r="124">
      <c r="A124" s="63"/>
      <c r="B124" s="59"/>
      <c r="C124" s="59" t="s">
        <v>126</v>
      </c>
      <c r="D124" s="86"/>
      <c r="E124" s="84">
        <v>10.0</v>
      </c>
      <c r="F124" s="84">
        <v>20.0</v>
      </c>
      <c r="G124" s="84">
        <v>20.0</v>
      </c>
      <c r="H124" s="62" t="s">
        <v>5</v>
      </c>
      <c r="J124" s="65"/>
      <c r="K124" s="66"/>
      <c r="L124" s="66"/>
      <c r="M124" s="66"/>
    </row>
    <row r="125">
      <c r="A125" s="63"/>
      <c r="B125" s="59"/>
      <c r="C125" s="59" t="s">
        <v>127</v>
      </c>
      <c r="D125" s="86"/>
      <c r="E125" s="83"/>
      <c r="F125" s="84">
        <v>35.0</v>
      </c>
      <c r="G125" s="84">
        <v>35.0</v>
      </c>
      <c r="H125" s="62" t="s">
        <v>5</v>
      </c>
      <c r="J125" s="65"/>
      <c r="K125" s="66"/>
      <c r="L125" s="66"/>
      <c r="M125" s="66"/>
    </row>
    <row r="126">
      <c r="A126" s="63"/>
      <c r="B126" s="59"/>
      <c r="C126" s="59" t="s">
        <v>128</v>
      </c>
      <c r="D126" s="81">
        <v>60.0</v>
      </c>
      <c r="E126" s="83"/>
      <c r="F126" s="84"/>
      <c r="G126" s="84"/>
      <c r="H126" s="62" t="s">
        <v>5</v>
      </c>
      <c r="J126" s="65"/>
      <c r="K126" s="66"/>
      <c r="L126" s="66"/>
      <c r="M126" s="66"/>
    </row>
    <row r="127">
      <c r="A127" s="63"/>
      <c r="B127" s="59"/>
      <c r="C127" s="59" t="s">
        <v>129</v>
      </c>
      <c r="D127" s="86"/>
      <c r="E127" s="84">
        <v>35.0</v>
      </c>
      <c r="F127" s="84"/>
      <c r="G127" s="84"/>
      <c r="H127" s="62" t="s">
        <v>5</v>
      </c>
      <c r="J127" s="65"/>
      <c r="K127" s="66"/>
      <c r="L127" s="66"/>
      <c r="M127" s="66"/>
    </row>
    <row r="128">
      <c r="A128" s="63"/>
      <c r="B128" s="59"/>
      <c r="C128" s="59" t="s">
        <v>130</v>
      </c>
      <c r="D128" s="86"/>
      <c r="E128" s="83"/>
      <c r="F128" s="84">
        <v>55.0</v>
      </c>
      <c r="G128" s="84"/>
      <c r="H128" s="62" t="s">
        <v>5</v>
      </c>
      <c r="J128" s="65"/>
      <c r="K128" s="66"/>
      <c r="L128" s="66"/>
      <c r="M128" s="66"/>
    </row>
    <row r="129">
      <c r="A129" s="63"/>
      <c r="B129" s="59"/>
      <c r="C129" s="59" t="s">
        <v>131</v>
      </c>
      <c r="D129" s="86"/>
      <c r="E129" s="83"/>
      <c r="F129" s="84">
        <v>11.0</v>
      </c>
      <c r="G129" s="84"/>
      <c r="H129" s="62" t="s">
        <v>5</v>
      </c>
      <c r="J129" s="65"/>
      <c r="K129" s="66"/>
      <c r="L129" s="66"/>
      <c r="M129" s="66"/>
    </row>
    <row r="130">
      <c r="A130" s="63"/>
      <c r="B130" s="59"/>
      <c r="C130" s="59" t="s">
        <v>132</v>
      </c>
      <c r="D130" s="86"/>
      <c r="E130" s="88"/>
      <c r="F130" s="85"/>
      <c r="G130" s="85">
        <v>11.0</v>
      </c>
      <c r="H130" s="62" t="s">
        <v>5</v>
      </c>
      <c r="J130" s="65"/>
      <c r="K130" s="66"/>
      <c r="L130" s="66"/>
      <c r="M130" s="66"/>
    </row>
    <row r="131">
      <c r="A131" s="63"/>
      <c r="B131" s="59"/>
      <c r="C131" s="59" t="s">
        <v>133</v>
      </c>
      <c r="D131" s="86"/>
      <c r="E131" s="85">
        <v>35.0</v>
      </c>
      <c r="F131" s="85"/>
      <c r="G131" s="85"/>
      <c r="H131" s="62" t="s">
        <v>5</v>
      </c>
      <c r="J131" s="32">
        <v>46158.0</v>
      </c>
      <c r="K131" s="33" t="s">
        <v>14</v>
      </c>
      <c r="L131" s="34" t="s">
        <v>15</v>
      </c>
      <c r="M131" s="35" t="s">
        <v>16</v>
      </c>
    </row>
    <row r="132">
      <c r="A132" s="69"/>
      <c r="B132" s="69"/>
      <c r="C132" s="70" t="s">
        <v>134</v>
      </c>
      <c r="D132" s="92">
        <v>332.0</v>
      </c>
      <c r="E132" s="72"/>
      <c r="F132" s="73"/>
      <c r="G132" s="74"/>
      <c r="H132" s="62" t="s">
        <v>5</v>
      </c>
      <c r="J132" s="36" t="s">
        <v>4</v>
      </c>
      <c r="K132" s="37">
        <v>0.0</v>
      </c>
      <c r="L132" s="38">
        <f>D134+E133</f>
        <v>453.3333333</v>
      </c>
      <c r="M132" s="39">
        <f t="shared" ref="M132:M134" si="22">K132-L132</f>
        <v>-453.3333333</v>
      </c>
    </row>
    <row r="133">
      <c r="A133" s="40"/>
      <c r="B133" s="41"/>
      <c r="C133" s="42" t="s">
        <v>13</v>
      </c>
      <c r="D133" s="43">
        <f t="shared" ref="D133:G133" si="21">SUM(D117:D132)</f>
        <v>895</v>
      </c>
      <c r="E133" s="44">
        <f t="shared" si="21"/>
        <v>155</v>
      </c>
      <c r="F133" s="45">
        <f t="shared" si="21"/>
        <v>140</v>
      </c>
      <c r="G133" s="45">
        <f t="shared" si="21"/>
        <v>66</v>
      </c>
      <c r="H133" s="46"/>
      <c r="J133" s="47" t="s">
        <v>5</v>
      </c>
      <c r="K133" s="48">
        <f>sum(D117:G132)</f>
        <v>1256</v>
      </c>
      <c r="L133" s="49">
        <f>D134+F133</f>
        <v>438.3333333</v>
      </c>
      <c r="M133" s="39">
        <f t="shared" si="22"/>
        <v>817.6666667</v>
      </c>
    </row>
    <row r="134">
      <c r="A134" s="76"/>
      <c r="B134" s="77"/>
      <c r="C134" s="78" t="s">
        <v>24</v>
      </c>
      <c r="D134" s="79">
        <f>D133/3</f>
        <v>298.3333333</v>
      </c>
      <c r="E134" s="51"/>
      <c r="F134" s="52"/>
      <c r="G134" s="52"/>
      <c r="H134" s="53"/>
      <c r="J134" s="54" t="s">
        <v>6</v>
      </c>
      <c r="K134" s="55">
        <v>0.0</v>
      </c>
      <c r="L134" s="56">
        <f>D134+G133</f>
        <v>364.3333333</v>
      </c>
      <c r="M134" s="80">
        <f t="shared" si="22"/>
        <v>-364.3333333</v>
      </c>
    </row>
    <row r="135" ht="15.75" customHeight="1">
      <c r="A135" s="93"/>
      <c r="B135" s="93"/>
      <c r="C135" s="93"/>
      <c r="D135" s="94"/>
      <c r="E135" s="95"/>
      <c r="F135" s="96"/>
      <c r="G135" s="95"/>
      <c r="H135" s="95"/>
      <c r="J135" s="97"/>
      <c r="K135" s="98"/>
      <c r="L135" s="98"/>
      <c r="M135" s="98"/>
    </row>
    <row r="136">
      <c r="A136" s="97"/>
      <c r="B136" s="93"/>
      <c r="C136" s="93"/>
      <c r="D136" s="94"/>
      <c r="E136" s="96"/>
      <c r="F136" s="95"/>
      <c r="G136" s="95"/>
      <c r="H136" s="95"/>
      <c r="J136" s="98"/>
      <c r="K136" s="94"/>
      <c r="L136" s="99"/>
      <c r="M136" s="99"/>
    </row>
    <row r="137">
      <c r="A137" s="97"/>
      <c r="B137" s="97"/>
      <c r="C137" s="93"/>
      <c r="D137" s="94"/>
      <c r="E137" s="96"/>
      <c r="F137" s="95"/>
      <c r="G137" s="95"/>
      <c r="H137" s="95"/>
      <c r="J137" s="98"/>
      <c r="K137" s="99"/>
      <c r="L137" s="99"/>
      <c r="M137" s="99"/>
    </row>
    <row r="138">
      <c r="A138" s="97"/>
      <c r="B138" s="97"/>
      <c r="C138" s="93"/>
      <c r="D138" s="94"/>
      <c r="E138" s="96"/>
      <c r="F138" s="95"/>
      <c r="G138" s="95"/>
      <c r="H138" s="95"/>
    </row>
    <row r="139">
      <c r="A139" s="97"/>
      <c r="B139" s="97"/>
      <c r="C139" s="93"/>
      <c r="D139" s="94"/>
      <c r="E139" s="96"/>
      <c r="F139" s="95"/>
      <c r="G139" s="95"/>
      <c r="H139" s="95"/>
    </row>
    <row r="140">
      <c r="A140" s="97"/>
      <c r="B140" s="97"/>
      <c r="C140" s="93"/>
      <c r="D140" s="94"/>
      <c r="E140" s="95"/>
      <c r="F140" s="96"/>
      <c r="G140" s="95"/>
      <c r="H140" s="95"/>
    </row>
    <row r="141">
      <c r="A141" s="97"/>
      <c r="B141" s="97"/>
      <c r="C141" s="93"/>
      <c r="D141" s="94"/>
      <c r="E141" s="95"/>
      <c r="F141" s="95"/>
      <c r="G141" s="95"/>
      <c r="H141" s="95"/>
    </row>
    <row r="142">
      <c r="A142" s="97"/>
      <c r="B142" s="97"/>
      <c r="C142" s="93"/>
      <c r="D142" s="94"/>
      <c r="E142" s="96"/>
      <c r="F142" s="95"/>
      <c r="G142" s="95"/>
      <c r="H142" s="95"/>
    </row>
    <row r="143">
      <c r="A143" s="97"/>
      <c r="B143" s="97"/>
      <c r="C143" s="93"/>
      <c r="D143" s="94"/>
      <c r="E143" s="96"/>
      <c r="F143" s="95"/>
      <c r="G143" s="95"/>
      <c r="H143" s="95"/>
    </row>
    <row r="144">
      <c r="A144" s="97"/>
      <c r="B144" s="97"/>
      <c r="C144" s="93"/>
      <c r="D144" s="94"/>
      <c r="E144" s="96"/>
      <c r="F144" s="95"/>
      <c r="G144" s="95"/>
      <c r="H144" s="95"/>
    </row>
    <row r="145">
      <c r="A145" s="97"/>
      <c r="B145" s="97"/>
      <c r="C145" s="93"/>
      <c r="D145" s="94"/>
      <c r="E145" s="96"/>
      <c r="F145" s="95"/>
      <c r="G145" s="95"/>
      <c r="H145" s="95"/>
    </row>
    <row r="146">
      <c r="A146" s="97"/>
      <c r="B146" s="93"/>
      <c r="C146" s="93"/>
      <c r="D146" s="94"/>
      <c r="E146" s="96"/>
      <c r="F146" s="95"/>
      <c r="G146" s="95"/>
      <c r="H146" s="95"/>
    </row>
    <row r="147">
      <c r="A147" s="97"/>
      <c r="B147" s="93"/>
      <c r="C147" s="93"/>
      <c r="D147" s="94"/>
      <c r="E147" s="95"/>
      <c r="F147" s="96"/>
      <c r="G147" s="95"/>
      <c r="H147" s="95"/>
    </row>
    <row r="148">
      <c r="A148" s="97"/>
      <c r="B148" s="93"/>
      <c r="C148" s="93"/>
      <c r="D148" s="94"/>
      <c r="E148" s="95"/>
      <c r="F148" s="96"/>
      <c r="G148" s="95"/>
      <c r="H148" s="95"/>
    </row>
    <row r="149">
      <c r="A149" s="97"/>
      <c r="B149" s="93"/>
      <c r="C149" s="93"/>
      <c r="D149" s="94"/>
      <c r="E149" s="95"/>
      <c r="F149" s="96"/>
      <c r="G149" s="95"/>
      <c r="H149" s="95"/>
    </row>
    <row r="150">
      <c r="A150" s="97"/>
      <c r="B150" s="93"/>
      <c r="C150" s="93"/>
      <c r="D150" s="94"/>
      <c r="E150" s="95"/>
      <c r="F150" s="96"/>
      <c r="G150" s="95"/>
      <c r="H150" s="95"/>
      <c r="J150" s="97"/>
      <c r="K150" s="98"/>
      <c r="L150" s="98"/>
      <c r="M150" s="98"/>
    </row>
    <row r="151">
      <c r="A151" s="97"/>
      <c r="B151" s="93"/>
      <c r="C151" s="93"/>
      <c r="D151" s="94"/>
      <c r="E151" s="96"/>
      <c r="F151" s="95"/>
      <c r="G151" s="95"/>
      <c r="H151" s="95"/>
      <c r="J151" s="97"/>
      <c r="K151" s="98"/>
      <c r="L151" s="98"/>
      <c r="M151" s="98"/>
    </row>
    <row r="152">
      <c r="A152" s="97"/>
      <c r="B152" s="93"/>
      <c r="C152" s="93"/>
      <c r="D152" s="94"/>
      <c r="E152" s="96"/>
      <c r="F152" s="95"/>
      <c r="G152" s="95"/>
      <c r="H152" s="95"/>
      <c r="J152" s="97"/>
      <c r="K152" s="98"/>
      <c r="L152" s="98"/>
      <c r="M152" s="98"/>
    </row>
    <row r="153">
      <c r="A153" s="97"/>
      <c r="B153" s="93"/>
      <c r="C153" s="93"/>
      <c r="D153" s="94"/>
      <c r="E153" s="96"/>
      <c r="F153" s="96"/>
      <c r="G153" s="95"/>
      <c r="H153" s="95"/>
      <c r="J153" s="97"/>
      <c r="K153" s="98"/>
      <c r="L153" s="98"/>
      <c r="M153" s="98"/>
    </row>
    <row r="154">
      <c r="A154" s="97"/>
      <c r="B154" s="93"/>
      <c r="C154" s="93"/>
      <c r="D154" s="94"/>
      <c r="E154" s="95"/>
      <c r="F154" s="96"/>
      <c r="G154" s="95"/>
      <c r="H154" s="95"/>
      <c r="J154" s="97"/>
      <c r="K154" s="98"/>
      <c r="L154" s="98"/>
      <c r="M154" s="98"/>
    </row>
    <row r="155">
      <c r="A155" s="97"/>
      <c r="B155" s="93"/>
      <c r="C155" s="93"/>
      <c r="D155" s="94"/>
      <c r="E155" s="96"/>
      <c r="F155" s="95"/>
      <c r="G155" s="95"/>
      <c r="H155" s="95"/>
      <c r="J155" s="97"/>
      <c r="K155" s="98"/>
      <c r="L155" s="98"/>
      <c r="M155" s="98"/>
    </row>
    <row r="156">
      <c r="A156" s="97"/>
      <c r="B156" s="93"/>
      <c r="C156" s="93"/>
      <c r="D156" s="94"/>
      <c r="E156" s="96"/>
      <c r="F156" s="95"/>
      <c r="G156" s="95"/>
      <c r="H156" s="95"/>
      <c r="J156" s="97"/>
      <c r="K156" s="98"/>
      <c r="L156" s="98"/>
      <c r="M156" s="98"/>
    </row>
    <row r="157">
      <c r="A157" s="97"/>
      <c r="B157" s="93"/>
      <c r="C157" s="93"/>
      <c r="D157" s="94"/>
      <c r="E157" s="96"/>
      <c r="F157" s="95"/>
      <c r="G157" s="95"/>
      <c r="H157" s="95"/>
      <c r="J157" s="97"/>
      <c r="K157" s="98"/>
      <c r="L157" s="98"/>
      <c r="M157" s="98"/>
    </row>
    <row r="158">
      <c r="A158" s="97"/>
      <c r="B158" s="93"/>
      <c r="C158" s="93"/>
      <c r="D158" s="94"/>
      <c r="E158" s="95"/>
      <c r="F158" s="96"/>
      <c r="G158" s="95"/>
      <c r="H158" s="95"/>
      <c r="J158" s="97"/>
      <c r="K158" s="98"/>
      <c r="L158" s="98"/>
      <c r="M158" s="98"/>
    </row>
    <row r="159">
      <c r="A159" s="100"/>
      <c r="B159" s="100"/>
      <c r="C159" s="101"/>
      <c r="D159" s="102"/>
      <c r="E159" s="103"/>
      <c r="F159" s="103"/>
      <c r="G159" s="104"/>
      <c r="H159" s="104"/>
      <c r="J159" s="97"/>
      <c r="K159" s="98"/>
      <c r="L159" s="98"/>
      <c r="M159" s="98"/>
    </row>
    <row r="160">
      <c r="A160" s="100"/>
      <c r="B160" s="100"/>
      <c r="C160" s="101"/>
      <c r="D160" s="102"/>
      <c r="G160" s="104"/>
      <c r="H160" s="104"/>
      <c r="J160" s="97"/>
      <c r="K160" s="98"/>
      <c r="L160" s="98"/>
      <c r="M160" s="98"/>
    </row>
    <row r="161">
      <c r="A161" s="93"/>
      <c r="B161" s="93"/>
      <c r="C161" s="93"/>
      <c r="D161" s="94"/>
      <c r="E161" s="95"/>
      <c r="F161" s="96"/>
      <c r="G161" s="95"/>
      <c r="H161" s="95"/>
      <c r="J161" s="97"/>
      <c r="K161" s="98"/>
      <c r="L161" s="98"/>
      <c r="M161" s="98"/>
    </row>
    <row r="162">
      <c r="A162" s="97"/>
      <c r="B162" s="93"/>
      <c r="C162" s="93"/>
      <c r="D162" s="94"/>
      <c r="E162" s="96"/>
      <c r="F162" s="95"/>
      <c r="G162" s="95"/>
      <c r="H162" s="95"/>
      <c r="J162" s="98"/>
      <c r="K162" s="97"/>
      <c r="L162" s="99"/>
      <c r="M162" s="99"/>
    </row>
    <row r="163">
      <c r="A163" s="97"/>
      <c r="B163" s="93"/>
      <c r="C163" s="93"/>
      <c r="D163" s="94"/>
      <c r="E163" s="96"/>
      <c r="F163" s="95"/>
      <c r="G163" s="95"/>
      <c r="H163" s="95"/>
      <c r="J163" s="98"/>
      <c r="K163" s="99"/>
      <c r="L163" s="99"/>
      <c r="M163" s="99"/>
    </row>
    <row r="164">
      <c r="A164" s="97"/>
      <c r="B164" s="93"/>
      <c r="C164" s="93"/>
      <c r="D164" s="94"/>
      <c r="E164" s="96"/>
      <c r="F164" s="95"/>
      <c r="G164" s="95"/>
      <c r="H164" s="95"/>
    </row>
    <row r="165">
      <c r="A165" s="97"/>
      <c r="B165" s="97"/>
      <c r="C165" s="93"/>
      <c r="D165" s="94"/>
      <c r="E165" s="95"/>
      <c r="F165" s="95"/>
      <c r="G165" s="95"/>
      <c r="H165" s="95"/>
    </row>
    <row r="166">
      <c r="A166" s="97"/>
      <c r="B166" s="93"/>
      <c r="C166" s="93"/>
      <c r="D166" s="94"/>
      <c r="E166" s="95"/>
      <c r="F166" s="95"/>
      <c r="G166" s="95"/>
      <c r="H166" s="95"/>
    </row>
    <row r="167">
      <c r="A167" s="97"/>
      <c r="B167" s="93"/>
      <c r="C167" s="93"/>
      <c r="D167" s="94"/>
      <c r="E167" s="95"/>
      <c r="F167" s="95"/>
      <c r="G167" s="95"/>
      <c r="H167" s="95"/>
    </row>
    <row r="168">
      <c r="A168" s="97"/>
      <c r="B168" s="93"/>
      <c r="C168" s="93"/>
      <c r="D168" s="94"/>
      <c r="E168" s="95"/>
      <c r="F168" s="95"/>
      <c r="G168" s="95"/>
      <c r="H168" s="95"/>
    </row>
    <row r="169">
      <c r="A169" s="97"/>
      <c r="B169" s="93"/>
      <c r="C169" s="93"/>
      <c r="D169" s="94"/>
      <c r="E169" s="95"/>
      <c r="F169" s="95"/>
      <c r="G169" s="95"/>
      <c r="H169" s="95"/>
    </row>
    <row r="170">
      <c r="A170" s="97"/>
      <c r="B170" s="97"/>
      <c r="C170" s="93"/>
      <c r="D170" s="94"/>
      <c r="E170" s="95"/>
      <c r="F170" s="95"/>
      <c r="G170" s="95"/>
      <c r="H170" s="95"/>
    </row>
    <row r="171">
      <c r="A171" s="97"/>
      <c r="B171" s="93"/>
      <c r="C171" s="93"/>
      <c r="D171" s="94"/>
      <c r="E171" s="95"/>
      <c r="F171" s="95"/>
      <c r="G171" s="95"/>
      <c r="H171" s="95"/>
    </row>
    <row r="172">
      <c r="A172" s="97"/>
      <c r="B172" s="93"/>
      <c r="C172" s="93"/>
      <c r="D172" s="94"/>
      <c r="E172" s="95"/>
      <c r="F172" s="95"/>
      <c r="G172" s="95"/>
      <c r="H172" s="95"/>
    </row>
    <row r="173">
      <c r="A173" s="97"/>
      <c r="B173" s="93"/>
      <c r="C173" s="93"/>
      <c r="D173" s="94"/>
      <c r="E173" s="96"/>
      <c r="F173" s="95"/>
      <c r="G173" s="95"/>
      <c r="H173" s="95"/>
    </row>
    <row r="174">
      <c r="A174" s="97"/>
      <c r="B174" s="93"/>
      <c r="C174" s="93"/>
      <c r="D174" s="94"/>
      <c r="E174" s="95"/>
      <c r="F174" s="95"/>
      <c r="G174" s="95"/>
      <c r="H174" s="95"/>
    </row>
    <row r="175">
      <c r="A175" s="97"/>
      <c r="B175" s="93"/>
      <c r="C175" s="93"/>
      <c r="D175" s="94"/>
      <c r="E175" s="96"/>
      <c r="F175" s="95"/>
      <c r="G175" s="95"/>
      <c r="H175" s="95"/>
    </row>
    <row r="176">
      <c r="A176" s="97"/>
      <c r="B176" s="93"/>
      <c r="C176" s="93"/>
      <c r="D176" s="94"/>
      <c r="E176" s="96"/>
      <c r="F176" s="95"/>
      <c r="G176" s="95"/>
      <c r="H176" s="95"/>
    </row>
    <row r="177">
      <c r="A177" s="97"/>
      <c r="B177" s="97"/>
      <c r="C177" s="93"/>
      <c r="D177" s="94"/>
      <c r="E177" s="96"/>
      <c r="F177" s="95"/>
      <c r="G177" s="95"/>
      <c r="H177" s="95"/>
    </row>
    <row r="178">
      <c r="A178" s="97"/>
      <c r="B178" s="97"/>
      <c r="C178" s="93"/>
      <c r="D178" s="94"/>
      <c r="E178" s="96"/>
      <c r="F178" s="95"/>
      <c r="G178" s="95"/>
      <c r="H178" s="95"/>
    </row>
    <row r="179">
      <c r="A179" s="97"/>
      <c r="B179" s="97"/>
      <c r="C179" s="93"/>
      <c r="D179" s="94"/>
      <c r="E179" s="96"/>
      <c r="F179" s="95"/>
      <c r="G179" s="95"/>
      <c r="H179" s="95"/>
    </row>
    <row r="180">
      <c r="A180" s="97"/>
      <c r="B180" s="93"/>
      <c r="C180" s="93"/>
      <c r="D180" s="94"/>
      <c r="E180" s="96"/>
      <c r="F180" s="95"/>
      <c r="G180" s="95"/>
      <c r="H180" s="95"/>
    </row>
    <row r="181">
      <c r="A181" s="97"/>
      <c r="B181" s="93"/>
      <c r="C181" s="93"/>
      <c r="D181" s="94"/>
      <c r="E181" s="95"/>
      <c r="F181" s="96"/>
      <c r="G181" s="95"/>
      <c r="H181" s="95"/>
    </row>
    <row r="182">
      <c r="A182" s="97"/>
      <c r="B182" s="93"/>
      <c r="C182" s="93"/>
      <c r="D182" s="94"/>
      <c r="E182" s="95"/>
      <c r="F182" s="96"/>
      <c r="G182" s="95"/>
      <c r="H182" s="95"/>
    </row>
    <row r="183">
      <c r="A183" s="97"/>
      <c r="B183" s="93"/>
      <c r="C183" s="93"/>
      <c r="D183" s="94"/>
      <c r="E183" s="95"/>
      <c r="F183" s="96"/>
      <c r="G183" s="95"/>
      <c r="H183" s="95"/>
    </row>
    <row r="184">
      <c r="A184" s="97"/>
      <c r="B184" s="93"/>
      <c r="C184" s="93"/>
      <c r="D184" s="94"/>
      <c r="E184" s="95"/>
      <c r="F184" s="96"/>
      <c r="G184" s="95"/>
      <c r="H184" s="95"/>
      <c r="J184" s="97"/>
      <c r="K184" s="98"/>
      <c r="L184" s="98"/>
      <c r="M184" s="98"/>
    </row>
    <row r="185">
      <c r="A185" s="97"/>
      <c r="B185" s="93"/>
      <c r="C185" s="93"/>
      <c r="D185" s="94"/>
      <c r="E185" s="96"/>
      <c r="F185" s="95"/>
      <c r="G185" s="95"/>
      <c r="H185" s="95"/>
      <c r="J185" s="97"/>
      <c r="K185" s="98"/>
      <c r="L185" s="98"/>
      <c r="M185" s="98"/>
    </row>
    <row r="186">
      <c r="A186" s="97"/>
      <c r="B186" s="93"/>
      <c r="C186" s="93"/>
      <c r="D186" s="94"/>
      <c r="E186" s="96"/>
      <c r="F186" s="95"/>
      <c r="G186" s="95"/>
      <c r="H186" s="95"/>
      <c r="J186" s="97"/>
      <c r="K186" s="98"/>
      <c r="L186" s="98"/>
      <c r="M186" s="98"/>
    </row>
    <row r="187">
      <c r="A187" s="97"/>
      <c r="B187" s="93"/>
      <c r="C187" s="93"/>
      <c r="D187" s="94"/>
      <c r="E187" s="96"/>
      <c r="F187" s="96"/>
      <c r="G187" s="95"/>
      <c r="H187" s="95"/>
      <c r="J187" s="97"/>
      <c r="K187" s="98"/>
      <c r="L187" s="98"/>
      <c r="M187" s="98"/>
    </row>
    <row r="188">
      <c r="A188" s="97"/>
      <c r="B188" s="93"/>
      <c r="C188" s="93"/>
      <c r="D188" s="94"/>
      <c r="E188" s="95"/>
      <c r="F188" s="96"/>
      <c r="G188" s="95"/>
      <c r="H188" s="95"/>
      <c r="J188" s="97"/>
      <c r="K188" s="98"/>
      <c r="L188" s="98"/>
      <c r="M188" s="98"/>
    </row>
    <row r="189">
      <c r="A189" s="97"/>
      <c r="B189" s="93"/>
      <c r="C189" s="93"/>
      <c r="D189" s="94"/>
      <c r="E189" s="95"/>
      <c r="F189" s="95"/>
      <c r="G189" s="95"/>
      <c r="H189" s="95"/>
      <c r="J189" s="97"/>
      <c r="K189" s="98"/>
      <c r="L189" s="98"/>
      <c r="M189" s="98"/>
    </row>
    <row r="190">
      <c r="A190" s="97"/>
      <c r="B190" s="93"/>
      <c r="C190" s="93"/>
      <c r="D190" s="94"/>
      <c r="E190" s="96"/>
      <c r="F190" s="95"/>
      <c r="G190" s="95"/>
      <c r="H190" s="95"/>
      <c r="J190" s="97"/>
      <c r="K190" s="98"/>
      <c r="L190" s="98"/>
      <c r="M190" s="98"/>
    </row>
    <row r="191">
      <c r="A191" s="100"/>
      <c r="B191" s="100"/>
      <c r="C191" s="101"/>
      <c r="D191" s="102"/>
      <c r="E191" s="103"/>
      <c r="F191" s="103"/>
      <c r="G191" s="104"/>
      <c r="H191" s="104"/>
      <c r="J191" s="97"/>
      <c r="K191" s="98"/>
      <c r="L191" s="98"/>
      <c r="M191" s="98"/>
    </row>
    <row r="192">
      <c r="A192" s="100"/>
      <c r="B192" s="100"/>
      <c r="C192" s="101"/>
      <c r="D192" s="102"/>
      <c r="G192" s="104"/>
      <c r="H192" s="104"/>
      <c r="J192" s="97"/>
      <c r="K192" s="98"/>
      <c r="L192" s="98"/>
      <c r="M192" s="98"/>
    </row>
    <row r="193">
      <c r="A193" s="105"/>
      <c r="B193" s="93"/>
      <c r="C193" s="93"/>
      <c r="D193" s="94"/>
      <c r="E193" s="106"/>
      <c r="F193" s="96"/>
      <c r="G193" s="95"/>
      <c r="H193" s="95"/>
      <c r="J193" s="97"/>
      <c r="K193" s="98"/>
      <c r="L193" s="98"/>
      <c r="M193" s="98"/>
    </row>
    <row r="194">
      <c r="A194" s="97"/>
      <c r="B194" s="93"/>
      <c r="C194" s="93"/>
      <c r="D194" s="94"/>
      <c r="E194" s="95"/>
      <c r="F194" s="95"/>
      <c r="G194" s="95"/>
      <c r="H194" s="95"/>
      <c r="J194" s="98"/>
      <c r="K194" s="97"/>
      <c r="L194" s="99"/>
      <c r="M194" s="99"/>
    </row>
    <row r="195">
      <c r="A195" s="100"/>
      <c r="B195" s="100"/>
      <c r="C195" s="101"/>
      <c r="D195" s="102"/>
      <c r="E195" s="103"/>
      <c r="F195" s="103"/>
      <c r="G195" s="104"/>
      <c r="H195" s="104"/>
      <c r="J195" s="98"/>
      <c r="K195" s="99"/>
      <c r="L195" s="99"/>
      <c r="M195" s="99"/>
    </row>
    <row r="196">
      <c r="A196" s="100"/>
      <c r="B196" s="100"/>
      <c r="C196" s="101"/>
      <c r="D196" s="102"/>
      <c r="G196" s="104"/>
      <c r="H196" s="104"/>
    </row>
    <row r="197">
      <c r="A197" s="105"/>
      <c r="B197" s="97"/>
      <c r="C197" s="93"/>
      <c r="D197" s="94"/>
      <c r="E197" s="95"/>
      <c r="F197" s="95"/>
      <c r="G197" s="95"/>
      <c r="H197" s="95"/>
      <c r="J197" s="97"/>
      <c r="K197" s="98"/>
      <c r="L197" s="98"/>
      <c r="M197" s="98"/>
    </row>
    <row r="198">
      <c r="A198" s="97"/>
      <c r="B198" s="93"/>
      <c r="C198" s="93"/>
      <c r="D198" s="94"/>
      <c r="E198" s="95"/>
      <c r="F198" s="95"/>
      <c r="G198" s="95"/>
      <c r="H198" s="95"/>
      <c r="J198" s="98"/>
      <c r="K198" s="97"/>
      <c r="L198" s="99"/>
      <c r="M198" s="99"/>
    </row>
    <row r="199">
      <c r="A199" s="97"/>
      <c r="B199" s="93"/>
      <c r="C199" s="93"/>
      <c r="D199" s="94"/>
      <c r="E199" s="95"/>
      <c r="F199" s="95"/>
      <c r="G199" s="95"/>
      <c r="H199" s="95"/>
      <c r="J199" s="98"/>
      <c r="K199" s="99"/>
      <c r="L199" s="99"/>
      <c r="M199" s="99"/>
    </row>
    <row r="200">
      <c r="A200" s="100"/>
      <c r="B200" s="100"/>
      <c r="C200" s="101"/>
      <c r="D200" s="102"/>
      <c r="E200" s="103"/>
      <c r="F200" s="103"/>
      <c r="G200" s="104"/>
      <c r="H200" s="104"/>
    </row>
    <row r="201">
      <c r="A201" s="100"/>
      <c r="B201" s="100"/>
      <c r="C201" s="101"/>
      <c r="D201" s="102"/>
      <c r="G201" s="104"/>
      <c r="H201" s="104"/>
    </row>
    <row r="202">
      <c r="A202" s="105"/>
      <c r="B202" s="93"/>
      <c r="C202" s="93"/>
      <c r="D202" s="94"/>
      <c r="E202" s="95"/>
      <c r="F202" s="96"/>
      <c r="G202" s="95"/>
      <c r="H202" s="95"/>
      <c r="J202" s="97"/>
      <c r="K202" s="98"/>
      <c r="L202" s="98"/>
      <c r="M202" s="98"/>
    </row>
    <row r="203">
      <c r="A203" s="100"/>
      <c r="B203" s="100"/>
      <c r="C203" s="101"/>
      <c r="D203" s="102"/>
      <c r="E203" s="103"/>
      <c r="F203" s="103"/>
      <c r="G203" s="104"/>
      <c r="H203" s="104"/>
      <c r="J203" s="98"/>
      <c r="K203" s="97"/>
      <c r="L203" s="99"/>
      <c r="M203" s="99"/>
    </row>
    <row r="204">
      <c r="A204" s="100"/>
      <c r="B204" s="100"/>
      <c r="C204" s="101"/>
      <c r="D204" s="102"/>
      <c r="G204" s="104"/>
      <c r="H204" s="104"/>
      <c r="J204" s="98"/>
      <c r="K204" s="99"/>
      <c r="L204" s="99"/>
      <c r="M204" s="99"/>
    </row>
    <row r="205">
      <c r="A205" s="105"/>
      <c r="B205" s="93"/>
      <c r="C205" s="93"/>
      <c r="D205" s="94"/>
      <c r="E205" s="95"/>
      <c r="F205" s="95"/>
      <c r="G205" s="95"/>
      <c r="H205" s="95"/>
      <c r="J205" s="97"/>
      <c r="K205" s="98"/>
      <c r="L205" s="98"/>
      <c r="M205" s="98"/>
    </row>
    <row r="206">
      <c r="A206" s="97"/>
      <c r="B206" s="93"/>
      <c r="C206" s="93"/>
      <c r="D206" s="94"/>
      <c r="E206" s="96"/>
      <c r="F206" s="95"/>
      <c r="G206" s="95"/>
      <c r="H206" s="95"/>
      <c r="J206" s="98"/>
      <c r="K206" s="93"/>
      <c r="L206" s="99"/>
      <c r="M206" s="99"/>
    </row>
    <row r="207">
      <c r="A207" s="100"/>
      <c r="B207" s="100"/>
      <c r="C207" s="101"/>
      <c r="D207" s="102"/>
      <c r="E207" s="103"/>
      <c r="F207" s="103"/>
      <c r="G207" s="107"/>
      <c r="H207" s="107"/>
      <c r="J207" s="98"/>
      <c r="K207" s="99"/>
      <c r="L207" s="99"/>
      <c r="M207" s="99"/>
    </row>
    <row r="208">
      <c r="A208" s="100"/>
      <c r="B208" s="100"/>
      <c r="C208" s="101"/>
      <c r="D208" s="102"/>
      <c r="G208" s="107"/>
    </row>
    <row r="209">
      <c r="A209" s="105"/>
      <c r="B209" s="93"/>
      <c r="C209" s="93"/>
      <c r="D209" s="94"/>
      <c r="E209" s="95"/>
      <c r="F209" s="96"/>
      <c r="G209" s="95"/>
      <c r="H209" s="95"/>
      <c r="J209" s="97"/>
      <c r="K209" s="98"/>
      <c r="L209" s="98"/>
      <c r="M209" s="98"/>
    </row>
    <row r="210">
      <c r="A210" s="97"/>
      <c r="B210" s="93"/>
      <c r="C210" s="93"/>
      <c r="D210" s="94"/>
      <c r="E210" s="95"/>
      <c r="F210" s="95"/>
      <c r="G210" s="95"/>
      <c r="H210" s="95"/>
      <c r="J210" s="98"/>
      <c r="K210" s="93"/>
      <c r="L210" s="99"/>
      <c r="M210" s="99"/>
    </row>
    <row r="211">
      <c r="A211" s="97"/>
      <c r="B211" s="93"/>
      <c r="C211" s="93"/>
      <c r="D211" s="94"/>
      <c r="E211" s="96"/>
      <c r="F211" s="95"/>
      <c r="G211" s="95"/>
      <c r="H211" s="95"/>
      <c r="J211" s="98"/>
      <c r="K211" s="99"/>
      <c r="L211" s="99"/>
      <c r="M211" s="99"/>
    </row>
    <row r="212">
      <c r="A212" s="97"/>
      <c r="B212" s="93"/>
      <c r="C212" s="93"/>
      <c r="D212" s="94"/>
      <c r="E212" s="95"/>
      <c r="F212" s="95"/>
      <c r="G212" s="95"/>
      <c r="H212" s="95"/>
    </row>
    <row r="213">
      <c r="A213" s="97"/>
      <c r="B213" s="97"/>
      <c r="C213" s="93"/>
      <c r="D213" s="94"/>
      <c r="E213" s="95"/>
      <c r="F213" s="95"/>
      <c r="G213" s="95"/>
      <c r="H213" s="95"/>
    </row>
    <row r="214">
      <c r="A214" s="97"/>
      <c r="B214" s="93"/>
      <c r="C214" s="93"/>
      <c r="D214" s="94"/>
      <c r="E214" s="95"/>
      <c r="F214" s="95"/>
      <c r="G214" s="95"/>
      <c r="H214" s="95"/>
    </row>
    <row r="215">
      <c r="A215" s="97"/>
      <c r="B215" s="97"/>
      <c r="C215" s="93"/>
      <c r="D215" s="94"/>
      <c r="E215" s="95"/>
      <c r="F215" s="95"/>
      <c r="G215" s="95"/>
      <c r="H215" s="95"/>
    </row>
    <row r="216">
      <c r="A216" s="97"/>
      <c r="B216" s="97"/>
      <c r="C216" s="93"/>
      <c r="D216" s="94"/>
      <c r="E216" s="94"/>
      <c r="F216" s="95"/>
      <c r="G216" s="95"/>
      <c r="H216" s="95"/>
    </row>
    <row r="217">
      <c r="A217" s="97"/>
      <c r="B217" s="97"/>
      <c r="C217" s="93"/>
      <c r="D217" s="94"/>
      <c r="E217" s="94"/>
      <c r="F217" s="95"/>
      <c r="G217" s="95"/>
      <c r="H217" s="95"/>
    </row>
    <row r="218">
      <c r="A218" s="97"/>
      <c r="B218" s="97"/>
      <c r="C218" s="93"/>
      <c r="D218" s="94"/>
      <c r="E218" s="95"/>
      <c r="F218" s="94"/>
      <c r="G218" s="95"/>
      <c r="H218" s="95"/>
    </row>
    <row r="219">
      <c r="A219" s="97"/>
      <c r="B219" s="97"/>
      <c r="C219" s="93"/>
      <c r="D219" s="94"/>
      <c r="E219" s="95"/>
      <c r="F219" s="95"/>
      <c r="G219" s="95"/>
      <c r="H219" s="95"/>
    </row>
    <row r="220">
      <c r="A220" s="97"/>
      <c r="B220" s="97"/>
      <c r="C220" s="93"/>
      <c r="D220" s="94"/>
      <c r="E220" s="95"/>
      <c r="F220" s="95"/>
      <c r="G220" s="95"/>
      <c r="H220" s="95"/>
    </row>
    <row r="221">
      <c r="A221" s="97"/>
      <c r="B221" s="93"/>
      <c r="C221" s="93"/>
      <c r="D221" s="94"/>
      <c r="E221" s="95"/>
      <c r="F221" s="95"/>
      <c r="G221" s="95"/>
      <c r="H221" s="95"/>
    </row>
    <row r="222">
      <c r="A222" s="97"/>
      <c r="B222" s="93"/>
      <c r="C222" s="93"/>
      <c r="D222" s="94"/>
      <c r="E222" s="95"/>
      <c r="F222" s="95"/>
      <c r="G222" s="95"/>
      <c r="H222" s="95"/>
    </row>
    <row r="223">
      <c r="A223" s="97"/>
      <c r="B223" s="93"/>
      <c r="C223" s="93"/>
      <c r="D223" s="94"/>
      <c r="E223" s="94"/>
      <c r="F223" s="95"/>
      <c r="G223" s="95"/>
      <c r="H223" s="95"/>
    </row>
    <row r="224">
      <c r="A224" s="97"/>
      <c r="B224" s="93"/>
      <c r="C224" s="93"/>
      <c r="D224" s="94"/>
      <c r="E224" s="95"/>
      <c r="F224" s="95"/>
      <c r="G224" s="95"/>
      <c r="H224" s="95"/>
    </row>
    <row r="225">
      <c r="A225" s="97"/>
      <c r="B225" s="93"/>
      <c r="C225" s="93"/>
      <c r="D225" s="94"/>
      <c r="E225" s="95"/>
      <c r="F225" s="95"/>
      <c r="G225" s="95"/>
      <c r="H225" s="95"/>
    </row>
    <row r="226">
      <c r="A226" s="97"/>
      <c r="B226" s="93"/>
      <c r="C226" s="93"/>
      <c r="D226" s="94"/>
      <c r="E226" s="95"/>
      <c r="F226" s="95"/>
      <c r="G226" s="95"/>
      <c r="H226" s="95"/>
    </row>
    <row r="227">
      <c r="A227" s="97"/>
      <c r="B227" s="93"/>
      <c r="C227" s="93"/>
      <c r="D227" s="94"/>
      <c r="E227" s="94"/>
      <c r="F227" s="95"/>
      <c r="G227" s="95"/>
      <c r="H227" s="95"/>
    </row>
    <row r="228">
      <c r="A228" s="97"/>
      <c r="B228" s="93"/>
      <c r="C228" s="93"/>
      <c r="D228" s="94"/>
      <c r="E228" s="95"/>
      <c r="F228" s="95"/>
      <c r="G228" s="95"/>
      <c r="H228" s="95"/>
    </row>
    <row r="229">
      <c r="A229" s="97"/>
      <c r="B229" s="93"/>
      <c r="C229" s="93"/>
      <c r="D229" s="94"/>
      <c r="E229" s="94"/>
      <c r="F229" s="95"/>
      <c r="G229" s="95"/>
      <c r="H229" s="95"/>
    </row>
    <row r="230">
      <c r="A230" s="97"/>
      <c r="B230" s="93"/>
      <c r="C230" s="93"/>
      <c r="D230" s="94"/>
      <c r="E230" s="95"/>
      <c r="F230" s="95"/>
      <c r="G230" s="95"/>
      <c r="H230" s="95"/>
    </row>
    <row r="231">
      <c r="A231" s="97"/>
      <c r="B231" s="93"/>
      <c r="C231" s="93"/>
      <c r="D231" s="94"/>
      <c r="E231" s="95"/>
      <c r="F231" s="95"/>
      <c r="G231" s="95"/>
      <c r="H231" s="95"/>
    </row>
    <row r="232">
      <c r="A232" s="97"/>
      <c r="B232" s="93"/>
      <c r="C232" s="93"/>
      <c r="D232" s="94"/>
      <c r="E232" s="95"/>
      <c r="F232" s="94"/>
      <c r="G232" s="95"/>
      <c r="H232" s="95"/>
    </row>
    <row r="233">
      <c r="A233" s="97"/>
      <c r="B233" s="93"/>
      <c r="C233" s="93"/>
      <c r="D233" s="94"/>
      <c r="E233" s="95"/>
      <c r="F233" s="95"/>
      <c r="G233" s="95"/>
      <c r="H233" s="95"/>
    </row>
    <row r="234">
      <c r="A234" s="97"/>
      <c r="B234" s="93"/>
      <c r="C234" s="93"/>
      <c r="D234" s="94"/>
      <c r="E234" s="95"/>
      <c r="F234" s="95"/>
      <c r="G234" s="95"/>
      <c r="H234" s="95"/>
    </row>
    <row r="235">
      <c r="A235" s="97"/>
      <c r="B235" s="93"/>
      <c r="C235" s="93"/>
      <c r="D235" s="94"/>
      <c r="E235" s="95"/>
      <c r="F235" s="95"/>
      <c r="G235" s="95"/>
      <c r="H235" s="95"/>
    </row>
    <row r="236">
      <c r="A236" s="97"/>
      <c r="B236" s="93"/>
      <c r="C236" s="93"/>
      <c r="D236" s="94"/>
      <c r="E236" s="95"/>
      <c r="F236" s="95"/>
      <c r="G236" s="95"/>
      <c r="H236" s="95"/>
    </row>
    <row r="237">
      <c r="A237" s="97"/>
      <c r="B237" s="93"/>
      <c r="C237" s="93"/>
      <c r="D237" s="94"/>
      <c r="E237" s="95"/>
      <c r="F237" s="95"/>
      <c r="G237" s="95"/>
      <c r="H237" s="95"/>
    </row>
    <row r="238">
      <c r="A238" s="97"/>
      <c r="B238" s="93"/>
      <c r="C238" s="93"/>
      <c r="D238" s="94"/>
      <c r="E238" s="95"/>
      <c r="F238" s="95"/>
      <c r="G238" s="95"/>
      <c r="H238" s="95"/>
    </row>
    <row r="239">
      <c r="A239" s="97"/>
      <c r="B239" s="93"/>
      <c r="C239" s="93"/>
      <c r="D239" s="94"/>
      <c r="E239" s="95"/>
      <c r="F239" s="95"/>
      <c r="G239" s="95"/>
      <c r="H239" s="95"/>
    </row>
    <row r="240">
      <c r="A240" s="97"/>
      <c r="B240" s="93"/>
      <c r="C240" s="93"/>
      <c r="D240" s="94"/>
      <c r="E240" s="95"/>
      <c r="F240" s="95"/>
      <c r="G240" s="95"/>
      <c r="H240" s="95"/>
    </row>
    <row r="241">
      <c r="A241" s="97"/>
      <c r="B241" s="93"/>
      <c r="C241" s="93"/>
      <c r="D241" s="94"/>
      <c r="E241" s="96"/>
      <c r="F241" s="95"/>
      <c r="G241" s="95"/>
      <c r="H241" s="95"/>
    </row>
    <row r="242">
      <c r="A242" s="100"/>
      <c r="B242" s="100"/>
      <c r="C242" s="101"/>
      <c r="D242" s="102"/>
      <c r="E242" s="103"/>
      <c r="F242" s="103"/>
      <c r="G242" s="104"/>
      <c r="H242" s="104"/>
    </row>
    <row r="243">
      <c r="A243" s="100"/>
      <c r="B243" s="100"/>
      <c r="C243" s="101"/>
      <c r="D243" s="102"/>
      <c r="G243" s="104"/>
      <c r="H243" s="104"/>
    </row>
    <row r="244">
      <c r="A244" s="105"/>
      <c r="B244" s="93"/>
      <c r="C244" s="93"/>
      <c r="D244" s="94"/>
      <c r="E244" s="95"/>
      <c r="F244" s="96"/>
      <c r="G244" s="95"/>
      <c r="H244" s="95"/>
      <c r="J244" s="97"/>
      <c r="K244" s="98"/>
      <c r="L244" s="98"/>
      <c r="M244" s="98"/>
    </row>
    <row r="245">
      <c r="A245" s="97"/>
      <c r="B245" s="93"/>
      <c r="C245" s="93"/>
      <c r="D245" s="94"/>
      <c r="E245" s="95"/>
      <c r="F245" s="95"/>
      <c r="G245" s="95"/>
      <c r="H245" s="95"/>
      <c r="J245" s="98"/>
      <c r="K245" s="97"/>
      <c r="L245" s="99"/>
      <c r="M245" s="99"/>
    </row>
    <row r="246">
      <c r="A246" s="97"/>
      <c r="B246" s="93"/>
      <c r="C246" s="93"/>
      <c r="D246" s="94"/>
      <c r="E246" s="95"/>
      <c r="F246" s="95"/>
      <c r="G246" s="95"/>
      <c r="H246" s="95"/>
      <c r="J246" s="98"/>
      <c r="K246" s="99"/>
      <c r="L246" s="99"/>
      <c r="M246" s="99"/>
    </row>
    <row r="247">
      <c r="A247" s="97"/>
      <c r="B247" s="93"/>
      <c r="C247" s="93"/>
      <c r="D247" s="94"/>
      <c r="E247" s="95"/>
      <c r="F247" s="95"/>
      <c r="G247" s="95"/>
      <c r="H247" s="95"/>
    </row>
    <row r="248">
      <c r="A248" s="97"/>
      <c r="B248" s="97"/>
      <c r="C248" s="93"/>
      <c r="D248" s="94"/>
      <c r="E248" s="95"/>
      <c r="F248" s="95"/>
      <c r="G248" s="95"/>
      <c r="H248" s="95"/>
    </row>
    <row r="249">
      <c r="A249" s="97"/>
      <c r="B249" s="93"/>
      <c r="C249" s="93"/>
      <c r="D249" s="94"/>
      <c r="E249" s="95"/>
      <c r="F249" s="95"/>
      <c r="G249" s="95"/>
      <c r="H249" s="95"/>
    </row>
    <row r="250">
      <c r="A250" s="97"/>
      <c r="B250" s="97"/>
      <c r="C250" s="93"/>
      <c r="D250" s="94"/>
      <c r="E250" s="95"/>
      <c r="F250" s="95"/>
      <c r="G250" s="95"/>
      <c r="H250" s="95"/>
    </row>
    <row r="251">
      <c r="A251" s="97"/>
      <c r="B251" s="93"/>
      <c r="C251" s="93"/>
      <c r="D251" s="94"/>
      <c r="E251" s="95"/>
      <c r="F251" s="95"/>
      <c r="G251" s="95"/>
      <c r="H251" s="95"/>
    </row>
    <row r="252">
      <c r="A252" s="97"/>
      <c r="B252" s="93"/>
      <c r="C252" s="93"/>
      <c r="D252" s="94"/>
      <c r="E252" s="96"/>
      <c r="F252" s="95"/>
      <c r="G252" s="95"/>
      <c r="H252" s="95"/>
      <c r="P252" s="11" t="s">
        <v>4</v>
      </c>
      <c r="Q252" s="11" t="s">
        <v>5</v>
      </c>
    </row>
    <row r="253">
      <c r="A253" s="97"/>
      <c r="B253" s="93"/>
      <c r="C253" s="93"/>
      <c r="D253" s="94"/>
      <c r="E253" s="95"/>
      <c r="F253" s="95"/>
      <c r="G253" s="95"/>
      <c r="H253" s="95"/>
      <c r="N253" s="108" t="s">
        <v>135</v>
      </c>
      <c r="O253" s="109"/>
      <c r="P253" s="110">
        <v>899.0</v>
      </c>
      <c r="Q253" s="110">
        <v>2395.0</v>
      </c>
      <c r="R253" s="85" t="s">
        <v>5</v>
      </c>
    </row>
    <row r="254">
      <c r="A254" s="100"/>
      <c r="B254" s="100"/>
      <c r="C254" s="101"/>
      <c r="D254" s="102"/>
      <c r="E254" s="103"/>
      <c r="F254" s="103"/>
      <c r="G254" s="104"/>
      <c r="H254" s="104"/>
      <c r="P254" s="111">
        <f t="shared" ref="P254:Q254" si="23">P253*532.05</f>
        <v>478312.95</v>
      </c>
      <c r="Q254" s="111">
        <f t="shared" si="23"/>
        <v>1274259.75</v>
      </c>
      <c r="R254" s="17" t="s">
        <v>136</v>
      </c>
    </row>
    <row r="255">
      <c r="A255" s="100"/>
      <c r="B255" s="100"/>
      <c r="C255" s="101"/>
      <c r="D255" s="102"/>
      <c r="G255" s="104"/>
      <c r="H255" s="104"/>
    </row>
    <row r="256">
      <c r="A256" s="105"/>
      <c r="B256" s="93"/>
      <c r="C256" s="93"/>
      <c r="D256" s="94"/>
      <c r="E256" s="95"/>
      <c r="F256" s="96"/>
      <c r="G256" s="95"/>
      <c r="H256" s="95"/>
      <c r="J256" s="97"/>
      <c r="K256" s="98"/>
      <c r="L256" s="98"/>
      <c r="M256" s="98"/>
    </row>
    <row r="257">
      <c r="A257" s="97"/>
      <c r="B257" s="93"/>
      <c r="C257" s="93"/>
      <c r="D257" s="94"/>
      <c r="E257" s="96"/>
      <c r="F257" s="95"/>
      <c r="G257" s="95"/>
      <c r="H257" s="95"/>
      <c r="J257" s="98"/>
      <c r="K257" s="97"/>
      <c r="L257" s="99"/>
      <c r="M257" s="99"/>
    </row>
    <row r="258">
      <c r="A258" s="97"/>
      <c r="B258" s="93"/>
      <c r="C258" s="93"/>
      <c r="D258" s="94"/>
      <c r="E258" s="95"/>
      <c r="F258" s="95"/>
      <c r="G258" s="95"/>
      <c r="H258" s="95"/>
      <c r="J258" s="98"/>
      <c r="K258" s="99"/>
      <c r="L258" s="99"/>
      <c r="M258" s="99"/>
    </row>
    <row r="259">
      <c r="A259" s="97"/>
      <c r="B259" s="93"/>
      <c r="C259" s="93"/>
      <c r="D259" s="94"/>
      <c r="E259" s="96"/>
      <c r="F259" s="95"/>
      <c r="G259" s="95"/>
      <c r="H259" s="95"/>
    </row>
    <row r="260">
      <c r="A260" s="97"/>
      <c r="B260" s="97"/>
      <c r="C260" s="93"/>
      <c r="D260" s="94"/>
      <c r="E260" s="95"/>
      <c r="F260" s="95"/>
      <c r="G260" s="95"/>
      <c r="H260" s="95"/>
    </row>
    <row r="261">
      <c r="A261" s="97"/>
      <c r="B261" s="93"/>
      <c r="C261" s="93"/>
      <c r="D261" s="94"/>
      <c r="E261" s="95"/>
      <c r="F261" s="95"/>
      <c r="G261" s="95"/>
      <c r="H261" s="95"/>
    </row>
    <row r="262">
      <c r="A262" s="97"/>
      <c r="B262" s="97"/>
      <c r="C262" s="93"/>
      <c r="D262" s="94"/>
      <c r="E262" s="95"/>
      <c r="F262" s="95"/>
      <c r="G262" s="95"/>
      <c r="H262" s="95"/>
    </row>
    <row r="263">
      <c r="A263" s="97"/>
      <c r="B263" s="93"/>
      <c r="C263" s="93"/>
      <c r="D263" s="94"/>
      <c r="E263" s="95"/>
      <c r="F263" s="95"/>
      <c r="G263" s="95"/>
      <c r="H263" s="95"/>
    </row>
    <row r="264">
      <c r="A264" s="97"/>
      <c r="B264" s="93"/>
      <c r="C264" s="93"/>
      <c r="D264" s="94"/>
      <c r="E264" s="96"/>
      <c r="F264" s="95"/>
      <c r="G264" s="95"/>
      <c r="H264" s="95"/>
    </row>
    <row r="265">
      <c r="A265" s="100"/>
      <c r="B265" s="100"/>
      <c r="C265" s="101"/>
      <c r="D265" s="102"/>
      <c r="E265" s="103"/>
      <c r="F265" s="103"/>
      <c r="G265" s="104"/>
      <c r="H265" s="104"/>
    </row>
    <row r="266">
      <c r="A266" s="100"/>
      <c r="B266" s="100"/>
      <c r="C266" s="101"/>
      <c r="D266" s="102"/>
      <c r="G266" s="104"/>
      <c r="H266" s="104"/>
    </row>
    <row r="267">
      <c r="A267" s="105"/>
      <c r="B267" s="93"/>
      <c r="C267" s="93"/>
      <c r="D267" s="94"/>
      <c r="E267" s="95"/>
      <c r="F267" s="96"/>
      <c r="G267" s="95"/>
      <c r="H267" s="95"/>
      <c r="J267" s="97"/>
      <c r="K267" s="98"/>
      <c r="L267" s="98"/>
      <c r="M267" s="98"/>
    </row>
    <row r="268">
      <c r="A268" s="97"/>
      <c r="B268" s="93"/>
      <c r="C268" s="93"/>
      <c r="D268" s="94"/>
      <c r="E268" s="95"/>
      <c r="F268" s="95"/>
      <c r="G268" s="95"/>
      <c r="H268" s="95"/>
      <c r="J268" s="98"/>
      <c r="K268" s="97"/>
      <c r="L268" s="99"/>
      <c r="M268" s="99"/>
    </row>
    <row r="269">
      <c r="A269" s="97"/>
      <c r="B269" s="93"/>
      <c r="C269" s="93"/>
      <c r="D269" s="94"/>
      <c r="E269" s="95"/>
      <c r="F269" s="95"/>
      <c r="G269" s="95"/>
      <c r="H269" s="95"/>
      <c r="J269" s="98"/>
      <c r="K269" s="99"/>
      <c r="L269" s="99"/>
      <c r="M269" s="99"/>
    </row>
    <row r="270">
      <c r="A270" s="97"/>
      <c r="B270" s="93"/>
      <c r="C270" s="93"/>
      <c r="D270" s="94"/>
      <c r="E270" s="95"/>
      <c r="F270" s="95"/>
      <c r="G270" s="95"/>
      <c r="H270" s="95"/>
    </row>
    <row r="271">
      <c r="A271" s="97"/>
      <c r="B271" s="97"/>
      <c r="C271" s="93"/>
      <c r="D271" s="94"/>
      <c r="E271" s="95"/>
      <c r="F271" s="95"/>
      <c r="G271" s="95"/>
      <c r="H271" s="95"/>
    </row>
    <row r="272">
      <c r="A272" s="97"/>
      <c r="B272" s="93"/>
      <c r="C272" s="93"/>
      <c r="D272" s="94"/>
      <c r="E272" s="95"/>
      <c r="F272" s="95"/>
      <c r="G272" s="95"/>
      <c r="H272" s="95"/>
    </row>
    <row r="273">
      <c r="A273" s="97"/>
      <c r="B273" s="97"/>
      <c r="C273" s="93"/>
      <c r="D273" s="94"/>
      <c r="E273" s="95"/>
      <c r="F273" s="95"/>
      <c r="G273" s="95"/>
      <c r="H273" s="95"/>
    </row>
    <row r="274">
      <c r="A274" s="100"/>
      <c r="B274" s="100"/>
      <c r="C274" s="101"/>
      <c r="D274" s="102"/>
      <c r="E274" s="103"/>
      <c r="F274" s="103"/>
      <c r="G274" s="104"/>
      <c r="H274" s="104"/>
    </row>
    <row r="275">
      <c r="A275" s="100"/>
      <c r="B275" s="100"/>
      <c r="C275" s="101"/>
      <c r="D275" s="102"/>
      <c r="G275" s="104"/>
      <c r="H275" s="104"/>
    </row>
    <row r="276">
      <c r="A276" s="105"/>
      <c r="B276" s="93"/>
      <c r="C276" s="93"/>
      <c r="D276" s="94"/>
      <c r="E276" s="95"/>
      <c r="F276" s="96"/>
      <c r="G276" s="95"/>
      <c r="H276" s="95"/>
      <c r="J276" s="97"/>
      <c r="K276" s="98"/>
      <c r="L276" s="98"/>
      <c r="M276" s="98"/>
    </row>
    <row r="277">
      <c r="A277" s="97"/>
      <c r="B277" s="93"/>
      <c r="C277" s="93"/>
      <c r="D277" s="94"/>
      <c r="E277" s="95"/>
      <c r="F277" s="95"/>
      <c r="G277" s="95"/>
      <c r="H277" s="95"/>
      <c r="J277" s="98"/>
      <c r="K277" s="93"/>
      <c r="L277" s="99"/>
      <c r="M277" s="99"/>
    </row>
    <row r="278">
      <c r="A278" s="97"/>
      <c r="B278" s="93"/>
      <c r="C278" s="93"/>
      <c r="D278" s="94"/>
      <c r="E278" s="95"/>
      <c r="F278" s="95"/>
      <c r="G278" s="95"/>
      <c r="H278" s="95"/>
      <c r="J278" s="98"/>
      <c r="K278" s="99"/>
      <c r="L278" s="99"/>
      <c r="M278" s="99"/>
    </row>
    <row r="279">
      <c r="A279" s="100"/>
      <c r="B279" s="100"/>
      <c r="C279" s="101"/>
      <c r="D279" s="102"/>
      <c r="E279" s="103"/>
      <c r="F279" s="103"/>
      <c r="G279" s="104"/>
      <c r="H279" s="104"/>
    </row>
    <row r="280">
      <c r="A280" s="100"/>
      <c r="B280" s="100"/>
      <c r="C280" s="101"/>
      <c r="D280" s="102"/>
      <c r="G280" s="104"/>
      <c r="H280" s="104"/>
    </row>
    <row r="281">
      <c r="A281" s="105"/>
      <c r="B281" s="93"/>
      <c r="C281" s="93"/>
      <c r="D281" s="94"/>
      <c r="E281" s="95"/>
      <c r="F281" s="96"/>
      <c r="G281" s="95"/>
      <c r="H281" s="95"/>
      <c r="J281" s="97"/>
      <c r="K281" s="98"/>
      <c r="L281" s="98"/>
      <c r="M281" s="98"/>
    </row>
    <row r="282">
      <c r="A282" s="97"/>
      <c r="B282" s="93"/>
      <c r="C282" s="93"/>
      <c r="D282" s="94"/>
      <c r="E282" s="95"/>
      <c r="F282" s="95"/>
      <c r="G282" s="95"/>
      <c r="H282" s="95"/>
      <c r="J282" s="98"/>
      <c r="K282" s="93"/>
      <c r="L282" s="99"/>
      <c r="M282" s="99"/>
    </row>
    <row r="283">
      <c r="A283" s="97"/>
      <c r="B283" s="93"/>
      <c r="C283" s="93"/>
      <c r="D283" s="94"/>
      <c r="E283" s="96"/>
      <c r="F283" s="95"/>
      <c r="G283" s="95"/>
      <c r="H283" s="95"/>
      <c r="J283" s="98"/>
      <c r="K283" s="99"/>
      <c r="L283" s="99"/>
      <c r="M283" s="99"/>
    </row>
    <row r="284">
      <c r="A284" s="97"/>
      <c r="B284" s="93"/>
      <c r="C284" s="93"/>
      <c r="D284" s="94"/>
      <c r="E284" s="95"/>
      <c r="F284" s="95"/>
      <c r="G284" s="95"/>
      <c r="H284" s="95"/>
    </row>
    <row r="285">
      <c r="A285" s="97"/>
      <c r="B285" s="97"/>
      <c r="C285" s="93"/>
      <c r="D285" s="94"/>
      <c r="E285" s="95"/>
      <c r="F285" s="95"/>
      <c r="G285" s="95"/>
      <c r="H285" s="95"/>
    </row>
    <row r="286">
      <c r="A286" s="97"/>
      <c r="B286" s="93"/>
      <c r="C286" s="93"/>
      <c r="D286" s="94"/>
      <c r="E286" s="95"/>
      <c r="F286" s="95"/>
      <c r="G286" s="95"/>
      <c r="H286" s="95"/>
    </row>
    <row r="287">
      <c r="A287" s="97"/>
      <c r="B287" s="93"/>
      <c r="C287" s="93"/>
      <c r="D287" s="94"/>
      <c r="E287" s="95"/>
      <c r="F287" s="95"/>
      <c r="G287" s="95"/>
      <c r="H287" s="95"/>
    </row>
    <row r="288">
      <c r="A288" s="97"/>
      <c r="B288" s="97"/>
      <c r="C288" s="93"/>
      <c r="D288" s="94"/>
      <c r="E288" s="94"/>
      <c r="F288" s="95"/>
      <c r="G288" s="95"/>
      <c r="H288" s="95"/>
    </row>
    <row r="289">
      <c r="A289" s="97"/>
      <c r="B289" s="97"/>
      <c r="C289" s="93"/>
      <c r="D289" s="94"/>
      <c r="E289" s="94"/>
      <c r="F289" s="95"/>
      <c r="G289" s="95"/>
      <c r="H289" s="95"/>
    </row>
    <row r="290">
      <c r="A290" s="97"/>
      <c r="B290" s="97"/>
      <c r="C290" s="93"/>
      <c r="D290" s="94"/>
      <c r="E290" s="95"/>
      <c r="F290" s="94"/>
      <c r="G290" s="95"/>
      <c r="H290" s="95"/>
    </row>
    <row r="291">
      <c r="A291" s="97"/>
      <c r="B291" s="93"/>
      <c r="C291" s="93"/>
      <c r="D291" s="94"/>
      <c r="E291" s="95"/>
      <c r="F291" s="95"/>
      <c r="G291" s="95"/>
      <c r="H291" s="95"/>
    </row>
    <row r="292">
      <c r="A292" s="97"/>
      <c r="B292" s="97"/>
      <c r="C292" s="93"/>
      <c r="D292" s="94"/>
      <c r="E292" s="95"/>
      <c r="F292" s="95"/>
      <c r="G292" s="95"/>
      <c r="H292" s="95"/>
    </row>
    <row r="293">
      <c r="A293" s="97"/>
      <c r="B293" s="93"/>
      <c r="C293" s="93"/>
      <c r="D293" s="94"/>
      <c r="E293" s="95"/>
      <c r="F293" s="95"/>
      <c r="G293" s="95"/>
      <c r="H293" s="95"/>
    </row>
    <row r="294">
      <c r="A294" s="97"/>
      <c r="B294" s="93"/>
      <c r="C294" s="93"/>
      <c r="D294" s="94"/>
      <c r="E294" s="95"/>
      <c r="F294" s="95"/>
      <c r="G294" s="95"/>
      <c r="H294" s="95"/>
    </row>
    <row r="295">
      <c r="A295" s="97"/>
      <c r="B295" s="93"/>
      <c r="C295" s="93"/>
      <c r="D295" s="94"/>
      <c r="E295" s="94"/>
      <c r="F295" s="95"/>
      <c r="G295" s="95"/>
      <c r="H295" s="95"/>
      <c r="L295" s="112"/>
      <c r="M295" s="112"/>
      <c r="N295" s="113"/>
    </row>
    <row r="296">
      <c r="A296" s="97"/>
      <c r="B296" s="93"/>
      <c r="C296" s="93"/>
      <c r="D296" s="94"/>
      <c r="E296" s="95"/>
      <c r="F296" s="95"/>
      <c r="G296" s="95"/>
      <c r="H296" s="95"/>
      <c r="N296" s="114" t="s">
        <v>13</v>
      </c>
    </row>
    <row r="297">
      <c r="A297" s="97"/>
      <c r="B297" s="93"/>
      <c r="C297" s="93"/>
      <c r="D297" s="94"/>
      <c r="E297" s="95"/>
      <c r="F297" s="95"/>
      <c r="G297" s="95"/>
      <c r="H297" s="95"/>
      <c r="L297" s="115"/>
      <c r="M297" s="115"/>
      <c r="N297" s="116">
        <f t="shared" ref="N297:N299" si="24">L297+M297</f>
        <v>0</v>
      </c>
    </row>
    <row r="298">
      <c r="A298" s="97"/>
      <c r="B298" s="93"/>
      <c r="C298" s="93"/>
      <c r="D298" s="94"/>
      <c r="E298" s="95"/>
      <c r="F298" s="95"/>
      <c r="G298" s="95"/>
      <c r="H298" s="95"/>
      <c r="L298" s="115"/>
      <c r="M298" s="115"/>
      <c r="N298" s="116">
        <f t="shared" si="24"/>
        <v>0</v>
      </c>
    </row>
    <row r="299">
      <c r="A299" s="97"/>
      <c r="B299" s="93"/>
      <c r="C299" s="93"/>
      <c r="D299" s="94"/>
      <c r="E299" s="94"/>
      <c r="F299" s="95"/>
      <c r="G299" s="95"/>
      <c r="H299" s="95"/>
      <c r="L299" s="115"/>
      <c r="M299" s="115"/>
      <c r="N299" s="116">
        <f t="shared" si="24"/>
        <v>0</v>
      </c>
    </row>
    <row r="300">
      <c r="A300" s="97"/>
      <c r="B300" s="93"/>
      <c r="C300" s="93"/>
      <c r="D300" s="94"/>
      <c r="E300" s="95"/>
      <c r="F300" s="95"/>
      <c r="G300" s="95"/>
      <c r="H300" s="95"/>
    </row>
    <row r="301">
      <c r="A301" s="97"/>
      <c r="B301" s="93"/>
      <c r="C301" s="93"/>
      <c r="D301" s="94"/>
      <c r="E301" s="94"/>
      <c r="F301" s="95"/>
      <c r="G301" s="95"/>
      <c r="H301" s="95"/>
    </row>
    <row r="302">
      <c r="A302" s="97"/>
      <c r="B302" s="93"/>
      <c r="C302" s="93"/>
      <c r="D302" s="94"/>
      <c r="E302" s="95"/>
      <c r="F302" s="95"/>
      <c r="G302" s="95"/>
      <c r="H302" s="95"/>
    </row>
    <row r="303">
      <c r="A303" s="97"/>
      <c r="B303" s="93"/>
      <c r="C303" s="93"/>
      <c r="D303" s="94"/>
      <c r="E303" s="95"/>
      <c r="F303" s="95"/>
      <c r="G303" s="95"/>
      <c r="H303" s="95"/>
    </row>
    <row r="304">
      <c r="A304" s="97"/>
      <c r="B304" s="93"/>
      <c r="C304" s="93"/>
      <c r="D304" s="94"/>
      <c r="E304" s="95"/>
      <c r="F304" s="94"/>
      <c r="G304" s="95"/>
      <c r="H304" s="95"/>
    </row>
    <row r="305">
      <c r="A305" s="97"/>
      <c r="B305" s="93"/>
      <c r="C305" s="93"/>
      <c r="D305" s="94"/>
      <c r="E305" s="95"/>
      <c r="F305" s="95"/>
      <c r="G305" s="95"/>
      <c r="H305" s="95"/>
    </row>
    <row r="306">
      <c r="A306" s="97"/>
      <c r="B306" s="93"/>
      <c r="C306" s="93"/>
      <c r="D306" s="94"/>
      <c r="E306" s="95"/>
      <c r="F306" s="95"/>
      <c r="G306" s="95"/>
      <c r="H306" s="95"/>
    </row>
    <row r="307">
      <c r="A307" s="97"/>
      <c r="B307" s="93"/>
      <c r="C307" s="93"/>
      <c r="D307" s="94"/>
      <c r="E307" s="95"/>
      <c r="F307" s="95"/>
      <c r="G307" s="95"/>
      <c r="H307" s="95"/>
    </row>
    <row r="308">
      <c r="A308" s="97"/>
      <c r="B308" s="93"/>
      <c r="C308" s="93"/>
      <c r="D308" s="94"/>
      <c r="E308" s="95"/>
      <c r="F308" s="95"/>
      <c r="G308" s="95"/>
      <c r="H308" s="95"/>
    </row>
    <row r="309">
      <c r="A309" s="97"/>
      <c r="B309" s="93"/>
      <c r="C309" s="93"/>
      <c r="D309" s="94"/>
      <c r="E309" s="95"/>
      <c r="F309" s="95"/>
      <c r="G309" s="95"/>
      <c r="H309" s="95"/>
    </row>
    <row r="310">
      <c r="A310" s="97"/>
      <c r="B310" s="93"/>
      <c r="C310" s="93"/>
      <c r="D310" s="94"/>
      <c r="E310" s="95"/>
      <c r="F310" s="95"/>
      <c r="G310" s="95"/>
      <c r="H310" s="95"/>
    </row>
    <row r="311">
      <c r="A311" s="97"/>
      <c r="B311" s="93"/>
      <c r="C311" s="93"/>
      <c r="D311" s="94"/>
      <c r="E311" s="95"/>
      <c r="F311" s="95"/>
      <c r="G311" s="95"/>
      <c r="H311" s="95"/>
    </row>
    <row r="312">
      <c r="A312" s="97"/>
      <c r="B312" s="93"/>
      <c r="C312" s="93"/>
      <c r="D312" s="94"/>
      <c r="E312" s="95"/>
      <c r="F312" s="95"/>
      <c r="G312" s="95"/>
      <c r="H312" s="95"/>
    </row>
    <row r="313">
      <c r="A313" s="97"/>
      <c r="B313" s="93"/>
      <c r="C313" s="93"/>
      <c r="D313" s="94"/>
      <c r="E313" s="96"/>
      <c r="F313" s="95"/>
      <c r="G313" s="95"/>
      <c r="H313" s="95"/>
    </row>
    <row r="314">
      <c r="A314" s="100"/>
      <c r="B314" s="100"/>
      <c r="C314" s="101"/>
      <c r="D314" s="102"/>
      <c r="E314" s="103"/>
      <c r="F314" s="103"/>
      <c r="G314" s="104"/>
      <c r="H314" s="104"/>
    </row>
    <row r="315">
      <c r="A315" s="100"/>
      <c r="B315" s="100"/>
      <c r="C315" s="101"/>
      <c r="D315" s="102"/>
      <c r="G315" s="104"/>
      <c r="H315" s="104"/>
    </row>
    <row r="316">
      <c r="A316" s="105"/>
      <c r="B316" s="93"/>
      <c r="C316" s="93"/>
      <c r="D316" s="94"/>
      <c r="E316" s="95"/>
      <c r="F316" s="95"/>
      <c r="G316" s="95"/>
      <c r="H316" s="95"/>
      <c r="J316" s="97"/>
      <c r="K316" s="98"/>
      <c r="L316" s="98"/>
      <c r="M316" s="98"/>
    </row>
    <row r="317">
      <c r="A317" s="100"/>
      <c r="B317" s="100"/>
      <c r="C317" s="101"/>
      <c r="D317" s="102"/>
      <c r="E317" s="103"/>
      <c r="F317" s="103"/>
      <c r="G317" s="104"/>
      <c r="H317" s="104"/>
      <c r="J317" s="98"/>
      <c r="K317" s="97"/>
      <c r="L317" s="99"/>
      <c r="M317" s="99"/>
    </row>
    <row r="318">
      <c r="A318" s="100"/>
      <c r="B318" s="100"/>
      <c r="C318" s="101"/>
      <c r="D318" s="102"/>
      <c r="G318" s="104"/>
      <c r="H318" s="104"/>
      <c r="J318" s="98"/>
      <c r="K318" s="94"/>
      <c r="L318" s="99"/>
      <c r="M318" s="99"/>
    </row>
    <row r="319">
      <c r="A319" s="105"/>
      <c r="B319" s="93"/>
      <c r="C319" s="93"/>
      <c r="D319" s="94"/>
      <c r="E319" s="95"/>
      <c r="F319" s="96"/>
      <c r="G319" s="95"/>
      <c r="H319" s="95"/>
      <c r="J319" s="97"/>
      <c r="K319" s="98"/>
      <c r="L319" s="98"/>
      <c r="M319" s="98"/>
    </row>
    <row r="320">
      <c r="A320" s="105"/>
      <c r="B320" s="93"/>
      <c r="C320" s="93"/>
      <c r="D320" s="94"/>
      <c r="E320" s="95"/>
      <c r="F320" s="95"/>
      <c r="G320" s="95"/>
      <c r="H320" s="95"/>
      <c r="J320" s="98"/>
      <c r="K320" s="93"/>
      <c r="L320" s="99"/>
      <c r="M320" s="99"/>
    </row>
    <row r="321">
      <c r="A321" s="97"/>
      <c r="B321" s="93"/>
      <c r="C321" s="93"/>
      <c r="D321" s="94"/>
      <c r="E321" s="95"/>
      <c r="F321" s="95"/>
      <c r="G321" s="95"/>
      <c r="H321" s="95"/>
      <c r="J321" s="98"/>
      <c r="K321" s="99"/>
      <c r="L321" s="99"/>
      <c r="M321" s="99"/>
    </row>
    <row r="322">
      <c r="A322" s="100"/>
      <c r="B322" s="100"/>
      <c r="C322" s="101"/>
      <c r="D322" s="102"/>
      <c r="E322" s="103"/>
      <c r="F322" s="103"/>
      <c r="G322" s="104"/>
      <c r="H322" s="104"/>
    </row>
    <row r="323">
      <c r="A323" s="100"/>
      <c r="B323" s="100"/>
      <c r="C323" s="101"/>
      <c r="D323" s="102"/>
      <c r="G323" s="104"/>
      <c r="H323" s="104"/>
    </row>
    <row r="324">
      <c r="A324" s="93"/>
      <c r="B324" s="93"/>
      <c r="C324" s="93"/>
      <c r="D324" s="94"/>
      <c r="E324" s="95"/>
      <c r="F324" s="96"/>
      <c r="G324" s="95"/>
      <c r="H324" s="95"/>
      <c r="J324" s="97"/>
      <c r="K324" s="98"/>
      <c r="L324" s="98"/>
      <c r="M324" s="98"/>
    </row>
    <row r="325">
      <c r="A325" s="97"/>
      <c r="B325" s="93"/>
      <c r="C325" s="93"/>
      <c r="D325" s="94"/>
      <c r="E325" s="95"/>
      <c r="F325" s="95"/>
      <c r="G325" s="95"/>
      <c r="H325" s="95"/>
      <c r="J325" s="98"/>
      <c r="K325" s="93"/>
      <c r="L325" s="99"/>
      <c r="M325" s="99"/>
    </row>
    <row r="326">
      <c r="A326" s="97"/>
      <c r="B326" s="93"/>
      <c r="C326" s="93"/>
      <c r="D326" s="94"/>
      <c r="E326" s="96"/>
      <c r="F326" s="95"/>
      <c r="G326" s="95"/>
      <c r="H326" s="95"/>
      <c r="J326" s="98"/>
      <c r="K326" s="99"/>
      <c r="L326" s="99"/>
      <c r="M326" s="99"/>
    </row>
    <row r="327">
      <c r="A327" s="97"/>
      <c r="B327" s="93"/>
      <c r="C327" s="93"/>
      <c r="D327" s="94"/>
      <c r="E327" s="95"/>
      <c r="F327" s="95"/>
      <c r="G327" s="95"/>
      <c r="H327" s="95"/>
    </row>
    <row r="328">
      <c r="A328" s="97"/>
      <c r="B328" s="93"/>
      <c r="C328" s="93"/>
      <c r="D328" s="94"/>
      <c r="E328" s="95"/>
      <c r="F328" s="95"/>
      <c r="G328" s="95"/>
      <c r="H328" s="95"/>
    </row>
    <row r="329">
      <c r="A329" s="97"/>
      <c r="B329" s="93"/>
      <c r="C329" s="93"/>
      <c r="D329" s="94"/>
      <c r="E329" s="95"/>
      <c r="F329" s="95"/>
      <c r="G329" s="95"/>
      <c r="H329" s="95"/>
    </row>
    <row r="330">
      <c r="A330" s="97"/>
      <c r="B330" s="93"/>
      <c r="C330" s="93"/>
      <c r="D330" s="94"/>
      <c r="E330" s="95"/>
      <c r="F330" s="95"/>
      <c r="G330" s="95"/>
      <c r="H330" s="95"/>
    </row>
    <row r="331">
      <c r="A331" s="97"/>
      <c r="B331" s="93"/>
      <c r="C331" s="93"/>
      <c r="D331" s="94"/>
      <c r="E331" s="95"/>
      <c r="F331" s="95"/>
      <c r="G331" s="95"/>
      <c r="H331" s="95"/>
    </row>
    <row r="332">
      <c r="A332" s="97"/>
      <c r="B332" s="97"/>
      <c r="C332" s="93"/>
      <c r="D332" s="94"/>
      <c r="E332" s="94"/>
      <c r="F332" s="95"/>
      <c r="G332" s="95"/>
      <c r="H332" s="95"/>
    </row>
    <row r="333">
      <c r="A333" s="97"/>
      <c r="B333" s="97"/>
      <c r="C333" s="93"/>
      <c r="D333" s="94"/>
      <c r="E333" s="94"/>
      <c r="F333" s="95"/>
      <c r="G333" s="95"/>
      <c r="H333" s="95"/>
    </row>
    <row r="334">
      <c r="A334" s="97"/>
      <c r="B334" s="93"/>
      <c r="C334" s="93"/>
      <c r="D334" s="94"/>
      <c r="E334" s="95"/>
      <c r="F334" s="94"/>
      <c r="G334" s="95"/>
      <c r="H334" s="95"/>
    </row>
    <row r="335">
      <c r="A335" s="97"/>
      <c r="B335" s="93"/>
      <c r="C335" s="93"/>
      <c r="D335" s="94"/>
      <c r="E335" s="95"/>
      <c r="F335" s="95"/>
      <c r="G335" s="95"/>
      <c r="H335" s="95"/>
    </row>
    <row r="336">
      <c r="A336" s="97"/>
      <c r="B336" s="97"/>
      <c r="C336" s="93"/>
      <c r="D336" s="94"/>
      <c r="E336" s="95"/>
      <c r="F336" s="95"/>
      <c r="G336" s="95"/>
      <c r="H336" s="95"/>
    </row>
    <row r="337">
      <c r="A337" s="97"/>
      <c r="B337" s="93"/>
      <c r="C337" s="93"/>
      <c r="D337" s="94"/>
      <c r="E337" s="95"/>
      <c r="F337" s="95"/>
      <c r="G337" s="95"/>
      <c r="H337" s="95"/>
    </row>
    <row r="338">
      <c r="A338" s="97"/>
      <c r="B338" s="93"/>
      <c r="C338" s="93"/>
      <c r="D338" s="94"/>
      <c r="E338" s="95"/>
      <c r="F338" s="95"/>
      <c r="G338" s="95"/>
      <c r="H338" s="95"/>
    </row>
    <row r="339">
      <c r="A339" s="97"/>
      <c r="B339" s="93"/>
      <c r="C339" s="93"/>
      <c r="D339" s="94"/>
      <c r="E339" s="94"/>
      <c r="F339" s="95"/>
      <c r="G339" s="95"/>
      <c r="H339" s="95"/>
    </row>
    <row r="340">
      <c r="A340" s="97"/>
      <c r="B340" s="93"/>
      <c r="C340" s="93"/>
      <c r="D340" s="94"/>
      <c r="E340" s="95"/>
      <c r="F340" s="95"/>
      <c r="G340" s="95"/>
      <c r="H340" s="95"/>
    </row>
    <row r="341">
      <c r="A341" s="97"/>
      <c r="B341" s="93"/>
      <c r="C341" s="93"/>
      <c r="D341" s="94"/>
      <c r="E341" s="95"/>
      <c r="F341" s="95"/>
      <c r="G341" s="95"/>
      <c r="H341" s="95"/>
    </row>
    <row r="342">
      <c r="A342" s="97"/>
      <c r="B342" s="93"/>
      <c r="C342" s="93"/>
      <c r="D342" s="94"/>
      <c r="E342" s="95"/>
      <c r="F342" s="95"/>
      <c r="G342" s="95"/>
      <c r="H342" s="95"/>
    </row>
    <row r="343">
      <c r="A343" s="97"/>
      <c r="B343" s="93"/>
      <c r="C343" s="93"/>
      <c r="D343" s="94"/>
      <c r="E343" s="95"/>
      <c r="F343" s="95"/>
      <c r="G343" s="95"/>
      <c r="H343" s="95"/>
    </row>
    <row r="344">
      <c r="A344" s="97"/>
      <c r="B344" s="93"/>
      <c r="C344" s="93"/>
      <c r="D344" s="94"/>
      <c r="E344" s="94"/>
      <c r="F344" s="95"/>
      <c r="G344" s="95"/>
      <c r="H344" s="95"/>
    </row>
    <row r="345">
      <c r="A345" s="97"/>
      <c r="B345" s="93"/>
      <c r="C345" s="93"/>
      <c r="D345" s="94"/>
      <c r="E345" s="95"/>
      <c r="F345" s="95"/>
      <c r="G345" s="95"/>
      <c r="H345" s="95"/>
    </row>
    <row r="346">
      <c r="A346" s="97"/>
      <c r="B346" s="93"/>
      <c r="C346" s="93"/>
      <c r="D346" s="94"/>
      <c r="E346" s="95"/>
      <c r="F346" s="95"/>
      <c r="G346" s="95"/>
      <c r="H346" s="95"/>
    </row>
    <row r="347">
      <c r="A347" s="97"/>
      <c r="B347" s="93"/>
      <c r="C347" s="93"/>
      <c r="D347" s="94"/>
      <c r="E347" s="95"/>
      <c r="F347" s="94"/>
      <c r="G347" s="95"/>
      <c r="H347" s="95"/>
    </row>
    <row r="348">
      <c r="A348" s="97"/>
      <c r="B348" s="93"/>
      <c r="C348" s="93"/>
      <c r="D348" s="94"/>
      <c r="E348" s="95"/>
      <c r="F348" s="95"/>
      <c r="G348" s="95"/>
      <c r="H348" s="95"/>
    </row>
    <row r="349">
      <c r="A349" s="97"/>
      <c r="B349" s="93"/>
      <c r="C349" s="93"/>
      <c r="D349" s="94"/>
      <c r="E349" s="96"/>
      <c r="F349" s="95"/>
      <c r="G349" s="95"/>
      <c r="H349" s="95"/>
    </row>
    <row r="350">
      <c r="A350" s="100"/>
      <c r="B350" s="100"/>
      <c r="C350" s="101"/>
      <c r="D350" s="102"/>
      <c r="E350" s="103"/>
      <c r="F350" s="103"/>
      <c r="G350" s="107"/>
      <c r="H350" s="107"/>
    </row>
    <row r="351">
      <c r="A351" s="100"/>
      <c r="B351" s="100"/>
      <c r="C351" s="101"/>
      <c r="D351" s="102"/>
      <c r="G351" s="107"/>
    </row>
    <row r="352">
      <c r="A352" s="93"/>
      <c r="B352" s="93"/>
      <c r="C352" s="93"/>
      <c r="D352" s="94"/>
      <c r="E352" s="95"/>
      <c r="F352" s="96"/>
      <c r="G352" s="95"/>
      <c r="H352" s="95"/>
      <c r="J352" s="97"/>
      <c r="K352" s="98"/>
      <c r="L352" s="98"/>
      <c r="M352" s="98"/>
    </row>
    <row r="353">
      <c r="A353" s="97"/>
      <c r="B353" s="93"/>
      <c r="C353" s="93"/>
      <c r="D353" s="94"/>
      <c r="E353" s="95"/>
      <c r="F353" s="95"/>
      <c r="G353" s="95"/>
      <c r="H353" s="95"/>
      <c r="J353" s="98"/>
      <c r="K353" s="97"/>
      <c r="L353" s="99"/>
      <c r="M353" s="99"/>
    </row>
    <row r="354">
      <c r="A354" s="97"/>
      <c r="B354" s="93"/>
      <c r="C354" s="93"/>
      <c r="D354" s="94"/>
      <c r="E354" s="95"/>
      <c r="F354" s="95"/>
      <c r="G354" s="95"/>
      <c r="H354" s="95"/>
      <c r="J354" s="98"/>
      <c r="K354" s="94"/>
      <c r="L354" s="99"/>
      <c r="M354" s="99"/>
    </row>
    <row r="355">
      <c r="A355" s="97"/>
      <c r="B355" s="93"/>
      <c r="C355" s="93"/>
      <c r="D355" s="94"/>
      <c r="E355" s="95"/>
      <c r="F355" s="95"/>
      <c r="G355" s="95"/>
      <c r="H355" s="95"/>
    </row>
    <row r="356">
      <c r="A356" s="97"/>
      <c r="B356" s="93"/>
      <c r="C356" s="93"/>
      <c r="D356" s="94"/>
      <c r="E356" s="95"/>
      <c r="F356" s="95"/>
      <c r="G356" s="95"/>
      <c r="H356" s="95"/>
    </row>
    <row r="357">
      <c r="A357" s="97"/>
      <c r="B357" s="93"/>
      <c r="C357" s="93"/>
      <c r="D357" s="94"/>
      <c r="E357" s="95"/>
      <c r="F357" s="95"/>
      <c r="G357" s="95"/>
      <c r="H357" s="95"/>
    </row>
    <row r="358">
      <c r="A358" s="97"/>
      <c r="B358" s="93"/>
      <c r="C358" s="93"/>
      <c r="D358" s="94"/>
      <c r="E358" s="95"/>
      <c r="F358" s="95"/>
      <c r="G358" s="95"/>
      <c r="H358" s="95"/>
    </row>
    <row r="359">
      <c r="A359" s="97"/>
      <c r="B359" s="97"/>
      <c r="C359" s="93"/>
      <c r="D359" s="94"/>
      <c r="E359" s="94"/>
      <c r="F359" s="95"/>
      <c r="G359" s="95"/>
      <c r="H359" s="95"/>
    </row>
    <row r="360">
      <c r="A360" s="97"/>
      <c r="B360" s="97"/>
      <c r="C360" s="93"/>
      <c r="D360" s="94"/>
      <c r="E360" s="94"/>
      <c r="F360" s="95"/>
      <c r="G360" s="95"/>
      <c r="H360" s="95"/>
    </row>
    <row r="361">
      <c r="A361" s="97"/>
      <c r="B361" s="97"/>
      <c r="C361" s="93"/>
      <c r="D361" s="94"/>
      <c r="E361" s="95"/>
      <c r="F361" s="94"/>
      <c r="G361" s="95"/>
      <c r="H361" s="95"/>
    </row>
    <row r="362">
      <c r="A362" s="97"/>
      <c r="B362" s="97"/>
      <c r="C362" s="93"/>
      <c r="D362" s="94"/>
      <c r="E362" s="95"/>
      <c r="F362" s="95"/>
      <c r="G362" s="95"/>
      <c r="H362" s="95"/>
    </row>
    <row r="363">
      <c r="A363" s="97"/>
      <c r="B363" s="97"/>
      <c r="C363" s="93"/>
      <c r="D363" s="94"/>
      <c r="E363" s="95"/>
      <c r="F363" s="95"/>
      <c r="G363" s="95"/>
      <c r="H363" s="95"/>
    </row>
    <row r="364">
      <c r="A364" s="97"/>
      <c r="B364" s="93"/>
      <c r="C364" s="93"/>
      <c r="D364" s="94"/>
      <c r="E364" s="95"/>
      <c r="F364" s="95"/>
      <c r="G364" s="95"/>
      <c r="H364" s="95"/>
    </row>
    <row r="365">
      <c r="A365" s="97"/>
      <c r="B365" s="93"/>
      <c r="C365" s="93"/>
      <c r="D365" s="94"/>
      <c r="E365" s="95"/>
      <c r="F365" s="95"/>
      <c r="G365" s="95"/>
      <c r="H365" s="95"/>
    </row>
    <row r="366">
      <c r="A366" s="97"/>
      <c r="B366" s="93"/>
      <c r="C366" s="93"/>
      <c r="D366" s="94"/>
      <c r="E366" s="94"/>
      <c r="F366" s="95"/>
      <c r="G366" s="95"/>
      <c r="H366" s="95"/>
    </row>
    <row r="367">
      <c r="A367" s="97"/>
      <c r="B367" s="93"/>
      <c r="C367" s="93"/>
      <c r="D367" s="94"/>
      <c r="E367" s="95"/>
      <c r="F367" s="95"/>
      <c r="G367" s="95"/>
      <c r="H367" s="95"/>
    </row>
    <row r="368">
      <c r="A368" s="97"/>
      <c r="B368" s="93"/>
      <c r="C368" s="93"/>
      <c r="D368" s="94"/>
      <c r="E368" s="95"/>
      <c r="F368" s="95"/>
      <c r="G368" s="95"/>
      <c r="H368" s="95"/>
    </row>
    <row r="369">
      <c r="A369" s="97"/>
      <c r="B369" s="93"/>
      <c r="C369" s="93"/>
      <c r="D369" s="94"/>
      <c r="E369" s="95"/>
      <c r="F369" s="95"/>
      <c r="G369" s="95"/>
      <c r="H369" s="95"/>
    </row>
    <row r="370">
      <c r="A370" s="97"/>
      <c r="B370" s="93"/>
      <c r="C370" s="93"/>
      <c r="D370" s="94"/>
      <c r="E370" s="94"/>
      <c r="F370" s="95"/>
      <c r="G370" s="95"/>
      <c r="H370" s="95"/>
    </row>
    <row r="371">
      <c r="A371" s="97"/>
      <c r="B371" s="93"/>
      <c r="C371" s="93"/>
      <c r="D371" s="94"/>
      <c r="E371" s="96"/>
      <c r="F371" s="95"/>
      <c r="G371" s="95"/>
      <c r="H371" s="95"/>
    </row>
    <row r="372">
      <c r="A372" s="100"/>
      <c r="B372" s="100"/>
      <c r="C372" s="101"/>
      <c r="D372" s="102"/>
      <c r="E372" s="103"/>
      <c r="F372" s="103"/>
      <c r="G372" s="104"/>
      <c r="H372" s="104"/>
    </row>
    <row r="373">
      <c r="A373" s="100"/>
      <c r="B373" s="100"/>
      <c r="C373" s="101"/>
      <c r="D373" s="102"/>
      <c r="G373" s="104"/>
      <c r="H373" s="104"/>
    </row>
    <row r="374">
      <c r="A374" s="93"/>
      <c r="B374" s="93"/>
      <c r="C374" s="93"/>
      <c r="D374" s="94"/>
      <c r="E374" s="95"/>
      <c r="F374" s="95"/>
      <c r="G374" s="95"/>
      <c r="H374" s="95"/>
      <c r="J374" s="97"/>
      <c r="K374" s="98"/>
      <c r="L374" s="98"/>
      <c r="M374" s="98"/>
    </row>
    <row r="375">
      <c r="A375" s="100"/>
      <c r="B375" s="100"/>
      <c r="C375" s="101"/>
      <c r="D375" s="102"/>
      <c r="E375" s="103"/>
      <c r="F375" s="103"/>
      <c r="G375" s="104"/>
      <c r="H375" s="104"/>
      <c r="J375" s="98"/>
      <c r="K375" s="97"/>
      <c r="L375" s="99"/>
      <c r="M375" s="99"/>
    </row>
    <row r="376">
      <c r="A376" s="100"/>
      <c r="B376" s="100"/>
      <c r="C376" s="101"/>
      <c r="D376" s="102"/>
      <c r="G376" s="104"/>
      <c r="H376" s="104"/>
      <c r="J376" s="98"/>
      <c r="K376" s="94"/>
      <c r="L376" s="99"/>
      <c r="M376" s="99"/>
    </row>
    <row r="377">
      <c r="A377" s="117"/>
      <c r="B377" s="118"/>
      <c r="C377" s="118"/>
      <c r="D377" s="119"/>
      <c r="E377" s="99"/>
      <c r="F377" s="99"/>
      <c r="G377" s="120"/>
      <c r="H377" s="120"/>
      <c r="J377" s="97"/>
      <c r="K377" s="98"/>
      <c r="L377" s="98"/>
      <c r="M377" s="98"/>
    </row>
    <row r="378">
      <c r="A378" s="121"/>
      <c r="B378" s="121"/>
      <c r="C378" s="122"/>
      <c r="D378" s="102"/>
      <c r="E378" s="123"/>
      <c r="F378" s="123"/>
      <c r="G378" s="99"/>
      <c r="H378" s="99"/>
      <c r="J378" s="98"/>
      <c r="K378" s="93"/>
      <c r="L378" s="99"/>
      <c r="M378" s="99"/>
    </row>
    <row r="379">
      <c r="A379" s="121"/>
      <c r="B379" s="121"/>
      <c r="C379" s="122"/>
      <c r="D379" s="102"/>
      <c r="G379" s="99"/>
      <c r="H379" s="99"/>
      <c r="J379" s="98"/>
      <c r="K379" s="99"/>
      <c r="L379" s="99"/>
      <c r="M379" s="99"/>
    </row>
    <row r="380">
      <c r="A380" s="93"/>
      <c r="B380" s="93"/>
      <c r="C380" s="93"/>
      <c r="D380" s="94"/>
      <c r="E380" s="95"/>
      <c r="F380" s="96"/>
      <c r="G380" s="95"/>
      <c r="H380" s="95"/>
      <c r="I380" s="121"/>
      <c r="J380" s="121"/>
      <c r="K380" s="122"/>
      <c r="L380" s="122"/>
      <c r="M380" s="122"/>
      <c r="N380" s="124" t="s">
        <v>137</v>
      </c>
      <c r="O380" s="125">
        <v>108316.0</v>
      </c>
      <c r="P380" s="124" t="s">
        <v>138</v>
      </c>
      <c r="Q380" s="126">
        <f>O380/2</f>
        <v>54158</v>
      </c>
    </row>
    <row r="381">
      <c r="A381" s="105"/>
      <c r="B381" s="93"/>
      <c r="C381" s="93"/>
      <c r="D381" s="94"/>
      <c r="E381" s="95"/>
      <c r="F381" s="95"/>
      <c r="G381" s="95"/>
      <c r="H381" s="95"/>
      <c r="I381" s="121"/>
      <c r="J381" s="122"/>
      <c r="K381" s="127"/>
      <c r="L381" s="128"/>
      <c r="M381" s="128"/>
      <c r="Q381" s="11" t="s">
        <v>139</v>
      </c>
    </row>
    <row r="382">
      <c r="A382" s="105"/>
      <c r="B382" s="93"/>
      <c r="C382" s="93"/>
      <c r="D382" s="94"/>
      <c r="E382" s="95"/>
      <c r="F382" s="95"/>
      <c r="G382" s="95"/>
      <c r="H382" s="95"/>
      <c r="I382" s="121"/>
      <c r="J382" s="122"/>
      <c r="K382" s="128"/>
      <c r="L382" s="128"/>
      <c r="M382" s="128"/>
    </row>
    <row r="383">
      <c r="A383" s="100"/>
      <c r="B383" s="100"/>
      <c r="C383" s="101"/>
      <c r="D383" s="102"/>
      <c r="E383" s="103"/>
      <c r="F383" s="103"/>
      <c r="G383" s="104"/>
      <c r="H383" s="104"/>
    </row>
    <row r="384">
      <c r="A384" s="100"/>
      <c r="B384" s="100"/>
      <c r="C384" s="101"/>
      <c r="D384" s="102"/>
      <c r="G384" s="104"/>
      <c r="H384" s="104"/>
    </row>
    <row r="385">
      <c r="A385" s="93"/>
      <c r="B385" s="93"/>
      <c r="C385" s="93"/>
      <c r="D385" s="94"/>
      <c r="E385" s="95"/>
      <c r="F385" s="96"/>
      <c r="G385" s="95"/>
      <c r="H385" s="95"/>
      <c r="J385" s="97"/>
      <c r="K385" s="98"/>
      <c r="L385" s="98"/>
      <c r="M385" s="98"/>
    </row>
    <row r="386">
      <c r="A386" s="105"/>
      <c r="B386" s="93"/>
      <c r="C386" s="93"/>
      <c r="D386" s="94"/>
      <c r="E386" s="95"/>
      <c r="F386" s="95"/>
      <c r="G386" s="95"/>
      <c r="H386" s="95"/>
      <c r="J386" s="98"/>
      <c r="K386" s="93"/>
      <c r="L386" s="99"/>
      <c r="M386" s="99"/>
    </row>
    <row r="387">
      <c r="A387" s="105"/>
      <c r="B387" s="93"/>
      <c r="C387" s="93"/>
      <c r="D387" s="94"/>
      <c r="E387" s="95"/>
      <c r="F387" s="95"/>
      <c r="G387" s="95"/>
      <c r="H387" s="95"/>
      <c r="J387" s="98"/>
      <c r="K387" s="99"/>
      <c r="L387" s="99"/>
      <c r="M387" s="99"/>
    </row>
    <row r="388">
      <c r="A388" s="100"/>
      <c r="B388" s="100"/>
      <c r="C388" s="101"/>
      <c r="D388" s="102"/>
      <c r="E388" s="103"/>
      <c r="F388" s="103"/>
      <c r="G388" s="104"/>
      <c r="H388" s="104"/>
    </row>
    <row r="389">
      <c r="A389" s="100"/>
      <c r="B389" s="100"/>
      <c r="C389" s="101"/>
      <c r="D389" s="102"/>
      <c r="G389" s="104"/>
      <c r="H389" s="104"/>
    </row>
    <row r="390">
      <c r="A390" s="93"/>
      <c r="B390" s="93"/>
      <c r="C390" s="93"/>
      <c r="D390" s="94"/>
      <c r="E390" s="95"/>
      <c r="F390" s="96"/>
      <c r="G390" s="95"/>
      <c r="H390" s="95"/>
      <c r="J390" s="97"/>
      <c r="K390" s="98"/>
      <c r="L390" s="98"/>
      <c r="M390" s="98"/>
    </row>
    <row r="391">
      <c r="A391" s="105"/>
      <c r="B391" s="93"/>
      <c r="C391" s="93"/>
      <c r="D391" s="94"/>
      <c r="E391" s="95"/>
      <c r="F391" s="95"/>
      <c r="G391" s="95"/>
      <c r="H391" s="95"/>
      <c r="J391" s="98"/>
      <c r="K391" s="93"/>
      <c r="L391" s="99"/>
      <c r="M391" s="99"/>
    </row>
    <row r="392">
      <c r="A392" s="105"/>
      <c r="B392" s="93"/>
      <c r="C392" s="93"/>
      <c r="D392" s="94"/>
      <c r="E392" s="95"/>
      <c r="F392" s="95"/>
      <c r="G392" s="95"/>
      <c r="H392" s="95"/>
      <c r="J392" s="98"/>
      <c r="K392" s="99"/>
      <c r="L392" s="99"/>
      <c r="M392" s="99"/>
    </row>
    <row r="393">
      <c r="A393" s="100"/>
      <c r="B393" s="100"/>
      <c r="C393" s="101"/>
      <c r="D393" s="102"/>
      <c r="E393" s="103"/>
      <c r="F393" s="103"/>
      <c r="G393" s="104"/>
      <c r="H393" s="104"/>
    </row>
    <row r="394">
      <c r="A394" s="100"/>
      <c r="B394" s="100"/>
      <c r="C394" s="101"/>
      <c r="D394" s="102"/>
      <c r="G394" s="104"/>
      <c r="H394" s="104"/>
    </row>
    <row r="395">
      <c r="A395" s="93"/>
      <c r="B395" s="93"/>
      <c r="C395" s="93"/>
      <c r="D395" s="94"/>
      <c r="E395" s="95"/>
      <c r="F395" s="96"/>
      <c r="G395" s="95"/>
      <c r="H395" s="95"/>
      <c r="J395" s="97"/>
      <c r="K395" s="98"/>
      <c r="L395" s="98"/>
      <c r="M395" s="98"/>
    </row>
    <row r="396">
      <c r="A396" s="105"/>
      <c r="B396" s="93"/>
      <c r="C396" s="93"/>
      <c r="D396" s="94"/>
      <c r="E396" s="95"/>
      <c r="F396" s="95"/>
      <c r="G396" s="95"/>
      <c r="H396" s="95"/>
      <c r="J396" s="98"/>
      <c r="K396" s="93"/>
      <c r="L396" s="99"/>
      <c r="M396" s="99"/>
    </row>
    <row r="397">
      <c r="A397" s="105"/>
      <c r="B397" s="93"/>
      <c r="C397" s="93"/>
      <c r="D397" s="94"/>
      <c r="E397" s="95"/>
      <c r="F397" s="95"/>
      <c r="G397" s="95"/>
      <c r="H397" s="95"/>
      <c r="J397" s="98"/>
      <c r="K397" s="94"/>
      <c r="L397" s="99"/>
      <c r="M397" s="99"/>
    </row>
    <row r="398">
      <c r="A398" s="105"/>
      <c r="B398" s="93"/>
      <c r="C398" s="93"/>
      <c r="D398" s="94"/>
      <c r="E398" s="95"/>
      <c r="F398" s="95"/>
      <c r="G398" s="95"/>
      <c r="H398" s="95"/>
    </row>
    <row r="399">
      <c r="A399" s="105"/>
      <c r="B399" s="93"/>
      <c r="C399" s="93"/>
      <c r="D399" s="94"/>
      <c r="E399" s="95"/>
      <c r="F399" s="95"/>
      <c r="G399" s="95"/>
      <c r="H399" s="95"/>
    </row>
    <row r="400">
      <c r="A400" s="105"/>
      <c r="B400" s="93"/>
      <c r="C400" s="93"/>
      <c r="D400" s="94"/>
      <c r="E400" s="95"/>
      <c r="F400" s="95"/>
      <c r="G400" s="95"/>
      <c r="H400" s="95"/>
      <c r="J400" s="97"/>
      <c r="K400" s="98"/>
      <c r="L400" s="98"/>
      <c r="M400" s="98"/>
    </row>
    <row r="401">
      <c r="A401" s="105"/>
      <c r="B401" s="93"/>
      <c r="C401" s="93"/>
      <c r="D401" s="94"/>
      <c r="E401" s="95"/>
      <c r="F401" s="95"/>
      <c r="G401" s="95"/>
      <c r="H401" s="95"/>
      <c r="J401" s="97"/>
      <c r="K401" s="98"/>
      <c r="L401" s="98"/>
      <c r="M401" s="98"/>
    </row>
    <row r="402">
      <c r="A402" s="105"/>
      <c r="B402" s="93"/>
      <c r="C402" s="93"/>
      <c r="D402" s="94"/>
      <c r="E402" s="95"/>
      <c r="F402" s="95"/>
      <c r="G402" s="95"/>
      <c r="H402" s="95"/>
      <c r="J402" s="97"/>
      <c r="K402" s="98"/>
      <c r="L402" s="98"/>
      <c r="M402" s="98"/>
    </row>
    <row r="403">
      <c r="A403" s="105"/>
      <c r="B403" s="93"/>
      <c r="C403" s="93"/>
      <c r="D403" s="94"/>
      <c r="E403" s="95"/>
      <c r="F403" s="95"/>
      <c r="G403" s="95"/>
      <c r="H403" s="95"/>
      <c r="J403" s="97"/>
      <c r="K403" s="98"/>
      <c r="L403" s="98"/>
      <c r="M403" s="98"/>
    </row>
    <row r="404">
      <c r="A404" s="105"/>
      <c r="B404" s="93"/>
      <c r="C404" s="93"/>
      <c r="D404" s="94"/>
      <c r="E404" s="95"/>
      <c r="F404" s="95"/>
      <c r="G404" s="95"/>
      <c r="H404" s="95"/>
      <c r="J404" s="97"/>
      <c r="K404" s="98"/>
      <c r="L404" s="98"/>
      <c r="M404" s="98"/>
    </row>
    <row r="405">
      <c r="A405" s="105"/>
      <c r="B405" s="93"/>
      <c r="C405" s="93"/>
      <c r="D405" s="94"/>
      <c r="E405" s="95"/>
      <c r="F405" s="95"/>
      <c r="G405" s="95"/>
      <c r="H405" s="95"/>
      <c r="J405" s="97"/>
      <c r="K405" s="98"/>
      <c r="L405" s="98"/>
      <c r="M405" s="98"/>
    </row>
    <row r="406">
      <c r="A406" s="105"/>
      <c r="B406" s="93"/>
      <c r="C406" s="93"/>
      <c r="D406" s="94"/>
      <c r="E406" s="95"/>
      <c r="F406" s="95"/>
      <c r="G406" s="95"/>
      <c r="H406" s="95"/>
      <c r="J406" s="97"/>
      <c r="K406" s="98"/>
      <c r="L406" s="98"/>
      <c r="M406" s="98"/>
    </row>
    <row r="407">
      <c r="A407" s="100"/>
      <c r="B407" s="100"/>
      <c r="C407" s="101"/>
      <c r="D407" s="102"/>
      <c r="E407" s="103"/>
      <c r="F407" s="103"/>
      <c r="G407" s="104"/>
      <c r="H407" s="104"/>
      <c r="J407" s="97"/>
      <c r="K407" s="98"/>
      <c r="L407" s="98"/>
      <c r="M407" s="98"/>
    </row>
    <row r="408">
      <c r="A408" s="100"/>
      <c r="B408" s="100"/>
      <c r="C408" s="101"/>
      <c r="D408" s="102"/>
      <c r="G408" s="104"/>
      <c r="H408" s="104"/>
      <c r="J408" s="97"/>
      <c r="K408" s="98"/>
      <c r="L408" s="98"/>
      <c r="M408" s="98"/>
    </row>
    <row r="409">
      <c r="J409" s="97"/>
      <c r="K409" s="98"/>
      <c r="L409" s="98"/>
      <c r="M409" s="98"/>
    </row>
    <row r="410">
      <c r="J410" s="98"/>
      <c r="K410" s="93"/>
      <c r="L410" s="99"/>
      <c r="M410" s="99"/>
    </row>
    <row r="411">
      <c r="J411" s="98"/>
      <c r="K411" s="94"/>
      <c r="L411" s="99"/>
      <c r="M411" s="99"/>
    </row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</sheetData>
  <mergeCells count="82">
    <mergeCell ref="E207:E208"/>
    <mergeCell ref="F207:F208"/>
    <mergeCell ref="H207:H208"/>
    <mergeCell ref="E191:E192"/>
    <mergeCell ref="E195:E196"/>
    <mergeCell ref="F195:F196"/>
    <mergeCell ref="E200:E201"/>
    <mergeCell ref="F200:F201"/>
    <mergeCell ref="E203:E204"/>
    <mergeCell ref="F203:F204"/>
    <mergeCell ref="E242:E243"/>
    <mergeCell ref="F242:F243"/>
    <mergeCell ref="E254:E255"/>
    <mergeCell ref="F254:F255"/>
    <mergeCell ref="E265:E266"/>
    <mergeCell ref="F265:F266"/>
    <mergeCell ref="F274:F275"/>
    <mergeCell ref="E274:E275"/>
    <mergeCell ref="E279:E280"/>
    <mergeCell ref="F279:F280"/>
    <mergeCell ref="E314:E315"/>
    <mergeCell ref="F314:F315"/>
    <mergeCell ref="E317:E318"/>
    <mergeCell ref="F317:F318"/>
    <mergeCell ref="E322:E323"/>
    <mergeCell ref="F322:F323"/>
    <mergeCell ref="E350:E351"/>
    <mergeCell ref="F350:F351"/>
    <mergeCell ref="H350:H351"/>
    <mergeCell ref="E372:E373"/>
    <mergeCell ref="F372:F373"/>
    <mergeCell ref="E388:E389"/>
    <mergeCell ref="E393:E394"/>
    <mergeCell ref="F393:F394"/>
    <mergeCell ref="E407:E408"/>
    <mergeCell ref="F407:F408"/>
    <mergeCell ref="E375:E376"/>
    <mergeCell ref="F375:F376"/>
    <mergeCell ref="E378:E379"/>
    <mergeCell ref="F378:F379"/>
    <mergeCell ref="E383:E384"/>
    <mergeCell ref="F383:F384"/>
    <mergeCell ref="F388:F389"/>
    <mergeCell ref="E9:E10"/>
    <mergeCell ref="F9:F10"/>
    <mergeCell ref="G9:G10"/>
    <mergeCell ref="H9:H10"/>
    <mergeCell ref="F16:F17"/>
    <mergeCell ref="G16:G17"/>
    <mergeCell ref="H16:H17"/>
    <mergeCell ref="G60:G61"/>
    <mergeCell ref="H60:H61"/>
    <mergeCell ref="E16:E17"/>
    <mergeCell ref="E47:E48"/>
    <mergeCell ref="F47:F48"/>
    <mergeCell ref="G47:G48"/>
    <mergeCell ref="H47:H48"/>
    <mergeCell ref="E60:E61"/>
    <mergeCell ref="F60:F61"/>
    <mergeCell ref="E65:E66"/>
    <mergeCell ref="F65:F66"/>
    <mergeCell ref="G65:G66"/>
    <mergeCell ref="H65:H66"/>
    <mergeCell ref="F104:F105"/>
    <mergeCell ref="G104:G105"/>
    <mergeCell ref="H104:H105"/>
    <mergeCell ref="G115:G116"/>
    <mergeCell ref="H115:H116"/>
    <mergeCell ref="E104:E105"/>
    <mergeCell ref="E109:E110"/>
    <mergeCell ref="F109:F110"/>
    <mergeCell ref="G109:G110"/>
    <mergeCell ref="H109:H110"/>
    <mergeCell ref="E115:E116"/>
    <mergeCell ref="F115:F116"/>
    <mergeCell ref="E133:E134"/>
    <mergeCell ref="F133:F134"/>
    <mergeCell ref="G133:G134"/>
    <mergeCell ref="H133:H134"/>
    <mergeCell ref="E159:E160"/>
    <mergeCell ref="F159:F160"/>
    <mergeCell ref="F191:F192"/>
  </mergeCells>
  <printOptions/>
  <pageMargins bottom="0.75" footer="0.0" header="0.0" left="0.7" right="0.7" top="0.75"/>
  <pageSetup orientation="landscape"/>
  <drawing r:id="rId1"/>
</worksheet>
</file>